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日別データ" sheetId="1" state="visible" r:id="rId3"/>
    <sheet name="月別サマリ" sheetId="2" state="visible" r:id="rId4"/>
    <sheet name="サマリ指標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<sst xmlns="http://schemas.openxmlformats.org/spreadsheetml/2006/main" count="31" uniqueCount="31">
  <si>
    <t xml:space="preserve">日付</t>
  </si>
  <si>
    <t xml:space="preserve">競合在庫数</t>
  </si>
  <si>
    <t xml:space="preserve">月</t>
  </si>
  <si>
    <t xml:space="preserve">平均在庫数</t>
  </si>
  <si>
    <t xml:space="preserve">日数</t>
  </si>
  <si>
    <t xml:space="preserve">2026-07</t>
  </si>
  <si>
    <t xml:space="preserve">2026-08</t>
  </si>
  <si>
    <t xml:space="preserve">2026-09</t>
  </si>
  <si>
    <t xml:space="preserve">2026-10</t>
  </si>
  <si>
    <t xml:space="preserve">2026-11</t>
  </si>
  <si>
    <t xml:space="preserve">2026-12</t>
  </si>
  <si>
    <t xml:space="preserve">2027-01</t>
  </si>
  <si>
    <t xml:space="preserve">指標</t>
  </si>
  <si>
    <t xml:space="preserve">値</t>
  </si>
  <si>
    <t xml:space="preserve">対象日</t>
  </si>
  <si>
    <t xml:space="preserve">2026-07-29</t>
  </si>
  <si>
    <t xml:space="preserve">当日件数</t>
  </si>
  <si>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週間後</t>
    </r>
    <r>
      <rPr>
        <sz val="11"/>
        <rFont val="Arial"/>
        <family val="0"/>
        <charset val="1"/>
      </rPr>
      <t xml:space="preserve">(+7</t>
    </r>
    <r>
      <rPr>
        <sz val="11"/>
        <rFont val="Noto Sans CJK SC"/>
        <family val="2"/>
      </rPr>
      <t xml:space="preserve">日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</si>
  <si>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30</t>
    </r>
    <r>
      <rPr>
        <sz val="11"/>
        <rFont val="Noto Sans CJK SC"/>
        <family val="2"/>
      </rPr>
      <t xml:space="preserve">日後</t>
    </r>
  </si>
  <si>
    <r>
      <rPr>
        <sz val="11"/>
        <rFont val="Arial"/>
        <family val="0"/>
        <charset val="1"/>
      </rPr>
      <t xml:space="preserve">60</t>
    </r>
    <r>
      <rPr>
        <sz val="11"/>
        <rFont val="Noto Sans CJK SC"/>
        <family val="2"/>
      </rPr>
      <t xml:space="preserve">日後</t>
    </r>
  </si>
  <si>
    <r>
      <rPr>
        <sz val="11"/>
        <rFont val="Arial"/>
        <family val="0"/>
        <charset val="1"/>
      </rPr>
      <t xml:space="preserve">90</t>
    </r>
    <r>
      <rPr>
        <sz val="11"/>
        <rFont val="Noto Sans CJK SC"/>
        <family val="2"/>
      </rPr>
      <t xml:space="preserve">日後</t>
    </r>
  </si>
  <si>
    <r>
      <rPr>
        <sz val="11"/>
        <rFont val="Arial"/>
        <family val="0"/>
        <charset val="1"/>
      </rPr>
      <t xml:space="preserve">180</t>
    </r>
    <r>
      <rPr>
        <sz val="11"/>
        <rFont val="Noto Sans CJK SC"/>
        <family val="2"/>
      </rPr>
      <t xml:space="preserve">日後</t>
    </r>
  </si>
  <si>
    <t xml:space="preserve">最小</t>
  </si>
  <si>
    <t xml:space="preserve">最大</t>
  </si>
  <si>
    <t xml:space="preserve">平均</t>
  </si>
  <si>
    <t xml:space="preserve">中央値</t>
  </si>
  <si>
    <t xml:space="preserve">リスティング表示順位</t>
  </si>
  <si>
    <r>
      <rPr>
        <sz val="11"/>
        <rFont val="Arial"/>
        <family val="0"/>
        <charset val="1"/>
      </rPr>
      <t xml:space="preserve">2</t>
    </r>
    <r>
      <rPr>
        <sz val="11"/>
        <rFont val="Noto Sans CJK SC"/>
        <family val="2"/>
      </rPr>
      <t xml:space="preserve">番目（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ページ目）</t>
    </r>
  </si>
  <si>
    <r>
      <rPr>
        <sz val="11"/>
        <rFont val="Noto Sans CJK SC"/>
        <family val="2"/>
      </rPr>
      <t xml:space="preserve">〜</t>
    </r>
    <r>
      <rPr>
        <sz val="11"/>
        <rFont val="Arial"/>
        <family val="0"/>
        <charset val="1"/>
      </rPr>
      <t xml:space="preserve">30</t>
    </r>
    <r>
      <rPr>
        <sz val="11"/>
        <rFont val="Noto Sans CJK SC"/>
        <family val="2"/>
      </rPr>
      <t xml:space="preserve">日 稼働率</t>
    </r>
  </si>
  <si>
    <r>
      <rPr>
        <sz val="11"/>
        <rFont val="Noto Sans CJK SC"/>
        <family val="2"/>
      </rPr>
      <t xml:space="preserve">〜</t>
    </r>
    <r>
      <rPr>
        <sz val="11"/>
        <rFont val="Arial"/>
        <family val="0"/>
        <charset val="1"/>
      </rPr>
      <t xml:space="preserve">60</t>
    </r>
    <r>
      <rPr>
        <sz val="11"/>
        <rFont val="Noto Sans CJK SC"/>
        <family val="2"/>
      </rPr>
      <t xml:space="preserve">日 稼働率</t>
    </r>
  </si>
  <si>
    <r>
      <rPr>
        <sz val="11"/>
        <rFont val="Noto Sans CJK SC"/>
        <family val="2"/>
      </rPr>
      <t xml:space="preserve">〜</t>
    </r>
    <r>
      <rPr>
        <sz val="11"/>
        <rFont val="Arial"/>
        <family val="0"/>
        <charset val="1"/>
      </rPr>
      <t xml:space="preserve">90</t>
    </r>
    <r>
      <rPr>
        <sz val="11"/>
        <rFont val="Noto Sans CJK SC"/>
        <family val="2"/>
      </rPr>
      <t xml:space="preserve">日 稼働率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</si>
</sst>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0.0"/>
    <numFmt numFmtId="167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sz val="11"/>
      <name val="Arial"/>
      <family val="0"/>
      <charset val="1"/>
    </font>
    <font>
      <b val="true"/>
      <sz val="18"/>
      <color rgb="FF000000"/>
      <name val="Noto Sans CJK SC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  <font>
      <sz val="11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2E5A88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E5A8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羽田空港エリア 競合在庫数（まるまる貸切×ゲストチョイス・大人5人・1泊）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日別データ!B1</c:f>
              <c:strCache>
                <c:ptCount val="1"/>
                <c:pt idx="0">
                  <c:v>競合在庫数</c:v>
                </c:pt>
              </c:strCache>
            </c:strRef>
          </c:tx>
          <c:spPr>
            <a:solidFill>
              <a:srgbClr val="2E5A88"/>
            </a:solidFill>
            <a:ln w="12600">
              <a:solidFill>
                <a:srgbClr val="2E5A8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日別データ!$A$2:$A$185</c:f>
              <c:strCache>
                <c:ptCount val="184"/>
                <c:pt idx="0">
                  <c:v>2026-07-29</c:v>
                </c:pt>
                <c:pt idx="1">
                  <c:v>2026-07-30</c:v>
                </c:pt>
                <c:pt idx="2">
                  <c:v>2026-07-31</c:v>
                </c:pt>
                <c:pt idx="3">
                  <c:v>2026-08-01</c:v>
                </c:pt>
                <c:pt idx="4">
                  <c:v>2026-08-02</c:v>
                </c:pt>
                <c:pt idx="5">
                  <c:v>2026-08-03</c:v>
                </c:pt>
                <c:pt idx="6">
                  <c:v>2026-08-04</c:v>
                </c:pt>
                <c:pt idx="7">
                  <c:v>2026-08-05</c:v>
                </c:pt>
                <c:pt idx="8">
                  <c:v>2026-08-06</c:v>
                </c:pt>
                <c:pt idx="9">
                  <c:v>2026-08-07</c:v>
                </c:pt>
                <c:pt idx="10">
                  <c:v>2026-08-08</c:v>
                </c:pt>
                <c:pt idx="11">
                  <c:v>2026-08-09</c:v>
                </c:pt>
                <c:pt idx="12">
                  <c:v>2026-08-10</c:v>
                </c:pt>
                <c:pt idx="13">
                  <c:v>2026-08-11</c:v>
                </c:pt>
                <c:pt idx="14">
                  <c:v>2026-08-12</c:v>
                </c:pt>
                <c:pt idx="15">
                  <c:v>2026-08-13</c:v>
                </c:pt>
                <c:pt idx="16">
                  <c:v>2026-08-14</c:v>
                </c:pt>
                <c:pt idx="17">
                  <c:v>2026-08-15</c:v>
                </c:pt>
                <c:pt idx="18">
                  <c:v>2026-08-16</c:v>
                </c:pt>
                <c:pt idx="19">
                  <c:v>2026-08-17</c:v>
                </c:pt>
                <c:pt idx="20">
                  <c:v>2026-08-18</c:v>
                </c:pt>
                <c:pt idx="21">
                  <c:v>2026-08-19</c:v>
                </c:pt>
                <c:pt idx="22">
                  <c:v>2026-08-20</c:v>
                </c:pt>
                <c:pt idx="23">
                  <c:v>2026-08-21</c:v>
                </c:pt>
                <c:pt idx="24">
                  <c:v>2026-08-22</c:v>
                </c:pt>
                <c:pt idx="25">
                  <c:v>2026-08-23</c:v>
                </c:pt>
                <c:pt idx="26">
                  <c:v>2026-08-24</c:v>
                </c:pt>
                <c:pt idx="27">
                  <c:v>2026-08-25</c:v>
                </c:pt>
                <c:pt idx="28">
                  <c:v>2026-08-26</c:v>
                </c:pt>
                <c:pt idx="29">
                  <c:v>2026-08-27</c:v>
                </c:pt>
                <c:pt idx="30">
                  <c:v>2026-08-28</c:v>
                </c:pt>
                <c:pt idx="31">
                  <c:v>2026-08-29</c:v>
                </c:pt>
                <c:pt idx="32">
                  <c:v>2026-08-30</c:v>
                </c:pt>
                <c:pt idx="33">
                  <c:v>2026-08-31</c:v>
                </c:pt>
                <c:pt idx="34">
                  <c:v>2026-09-01</c:v>
                </c:pt>
                <c:pt idx="35">
                  <c:v>2026-09-02</c:v>
                </c:pt>
                <c:pt idx="36">
                  <c:v>2026-09-03</c:v>
                </c:pt>
                <c:pt idx="37">
                  <c:v>2026-09-04</c:v>
                </c:pt>
                <c:pt idx="38">
                  <c:v>2026-09-05</c:v>
                </c:pt>
                <c:pt idx="39">
                  <c:v>2026-09-06</c:v>
                </c:pt>
                <c:pt idx="40">
                  <c:v>2026-09-07</c:v>
                </c:pt>
                <c:pt idx="41">
                  <c:v>2026-09-08</c:v>
                </c:pt>
                <c:pt idx="42">
                  <c:v>2026-09-09</c:v>
                </c:pt>
                <c:pt idx="43">
                  <c:v>2026-09-10</c:v>
                </c:pt>
                <c:pt idx="44">
                  <c:v>2026-09-11</c:v>
                </c:pt>
                <c:pt idx="45">
                  <c:v>2026-09-12</c:v>
                </c:pt>
                <c:pt idx="46">
                  <c:v>2026-09-13</c:v>
                </c:pt>
                <c:pt idx="47">
                  <c:v>2026-09-14</c:v>
                </c:pt>
                <c:pt idx="48">
                  <c:v>2026-09-15</c:v>
                </c:pt>
                <c:pt idx="49">
                  <c:v>2026-09-16</c:v>
                </c:pt>
                <c:pt idx="50">
                  <c:v>2026-09-17</c:v>
                </c:pt>
                <c:pt idx="51">
                  <c:v>2026-09-18</c:v>
                </c:pt>
                <c:pt idx="52">
                  <c:v>2026-09-19</c:v>
                </c:pt>
                <c:pt idx="53">
                  <c:v>2026-09-20</c:v>
                </c:pt>
                <c:pt idx="54">
                  <c:v>2026-09-21</c:v>
                </c:pt>
                <c:pt idx="55">
                  <c:v>2026-09-22</c:v>
                </c:pt>
                <c:pt idx="56">
                  <c:v>2026-09-23</c:v>
                </c:pt>
                <c:pt idx="57">
                  <c:v>2026-09-24</c:v>
                </c:pt>
                <c:pt idx="58">
                  <c:v>2026-09-25</c:v>
                </c:pt>
                <c:pt idx="59">
                  <c:v>2026-09-26</c:v>
                </c:pt>
                <c:pt idx="60">
                  <c:v>2026-09-27</c:v>
                </c:pt>
                <c:pt idx="61">
                  <c:v>2026-09-28</c:v>
                </c:pt>
                <c:pt idx="62">
                  <c:v>2026-09-29</c:v>
                </c:pt>
                <c:pt idx="63">
                  <c:v>2026-09-30</c:v>
                </c:pt>
                <c:pt idx="64">
                  <c:v>2026-10-01</c:v>
                </c:pt>
                <c:pt idx="65">
                  <c:v>2026-10-02</c:v>
                </c:pt>
                <c:pt idx="66">
                  <c:v>2026-10-03</c:v>
                </c:pt>
                <c:pt idx="67">
                  <c:v>2026-10-04</c:v>
                </c:pt>
                <c:pt idx="68">
                  <c:v>2026-10-05</c:v>
                </c:pt>
                <c:pt idx="69">
                  <c:v>2026-10-06</c:v>
                </c:pt>
                <c:pt idx="70">
                  <c:v>2026-10-07</c:v>
                </c:pt>
                <c:pt idx="71">
                  <c:v>2026-10-08</c:v>
                </c:pt>
                <c:pt idx="72">
                  <c:v>2026-10-09</c:v>
                </c:pt>
                <c:pt idx="73">
                  <c:v>2026-10-10</c:v>
                </c:pt>
                <c:pt idx="74">
                  <c:v>2026-10-11</c:v>
                </c:pt>
                <c:pt idx="75">
                  <c:v>2026-10-12</c:v>
                </c:pt>
                <c:pt idx="76">
                  <c:v>2026-10-13</c:v>
                </c:pt>
                <c:pt idx="77">
                  <c:v>2026-10-14</c:v>
                </c:pt>
                <c:pt idx="78">
                  <c:v>2026-10-15</c:v>
                </c:pt>
                <c:pt idx="79">
                  <c:v>2026-10-16</c:v>
                </c:pt>
                <c:pt idx="80">
                  <c:v>2026-10-17</c:v>
                </c:pt>
                <c:pt idx="81">
                  <c:v>2026-10-18</c:v>
                </c:pt>
                <c:pt idx="82">
                  <c:v>2026-10-19</c:v>
                </c:pt>
                <c:pt idx="83">
                  <c:v>2026-10-20</c:v>
                </c:pt>
                <c:pt idx="84">
                  <c:v>2026-10-21</c:v>
                </c:pt>
                <c:pt idx="85">
                  <c:v>2026-10-22</c:v>
                </c:pt>
                <c:pt idx="86">
                  <c:v>2026-10-23</c:v>
                </c:pt>
                <c:pt idx="87">
                  <c:v>2026-10-24</c:v>
                </c:pt>
                <c:pt idx="88">
                  <c:v>2026-10-25</c:v>
                </c:pt>
                <c:pt idx="89">
                  <c:v>2026-10-26</c:v>
                </c:pt>
                <c:pt idx="90">
                  <c:v>2026-10-27</c:v>
                </c:pt>
                <c:pt idx="91">
                  <c:v>2026-10-28</c:v>
                </c:pt>
                <c:pt idx="92">
                  <c:v>2026-10-29</c:v>
                </c:pt>
                <c:pt idx="93">
                  <c:v>2026-10-30</c:v>
                </c:pt>
                <c:pt idx="94">
                  <c:v>2026-10-31</c:v>
                </c:pt>
                <c:pt idx="95">
                  <c:v>2026-11-01</c:v>
                </c:pt>
                <c:pt idx="96">
                  <c:v>2026-11-02</c:v>
                </c:pt>
                <c:pt idx="97">
                  <c:v>2026-11-03</c:v>
                </c:pt>
                <c:pt idx="98">
                  <c:v>2026-11-04</c:v>
                </c:pt>
                <c:pt idx="99">
                  <c:v>2026-11-05</c:v>
                </c:pt>
                <c:pt idx="100">
                  <c:v>2026-11-06</c:v>
                </c:pt>
                <c:pt idx="101">
                  <c:v>2026-11-07</c:v>
                </c:pt>
                <c:pt idx="102">
                  <c:v>2026-11-08</c:v>
                </c:pt>
                <c:pt idx="103">
                  <c:v>2026-11-09</c:v>
                </c:pt>
                <c:pt idx="104">
                  <c:v>2026-11-10</c:v>
                </c:pt>
                <c:pt idx="105">
                  <c:v>2026-11-11</c:v>
                </c:pt>
                <c:pt idx="106">
                  <c:v>2026-11-12</c:v>
                </c:pt>
                <c:pt idx="107">
                  <c:v>2026-11-13</c:v>
                </c:pt>
                <c:pt idx="108">
                  <c:v>2026-11-14</c:v>
                </c:pt>
                <c:pt idx="109">
                  <c:v>2026-11-15</c:v>
                </c:pt>
                <c:pt idx="110">
                  <c:v>2026-11-16</c:v>
                </c:pt>
                <c:pt idx="111">
                  <c:v>2026-11-17</c:v>
                </c:pt>
                <c:pt idx="112">
                  <c:v>2026-11-18</c:v>
                </c:pt>
                <c:pt idx="113">
                  <c:v>2026-11-19</c:v>
                </c:pt>
                <c:pt idx="114">
                  <c:v>2026-11-20</c:v>
                </c:pt>
                <c:pt idx="115">
                  <c:v>2026-11-21</c:v>
                </c:pt>
                <c:pt idx="116">
                  <c:v>2026-11-22</c:v>
                </c:pt>
                <c:pt idx="117">
                  <c:v>2026-11-23</c:v>
                </c:pt>
                <c:pt idx="118">
                  <c:v>2026-11-24</c:v>
                </c:pt>
                <c:pt idx="119">
                  <c:v>2026-11-25</c:v>
                </c:pt>
                <c:pt idx="120">
                  <c:v>2026-11-26</c:v>
                </c:pt>
                <c:pt idx="121">
                  <c:v>2026-11-27</c:v>
                </c:pt>
                <c:pt idx="122">
                  <c:v>2026-11-28</c:v>
                </c:pt>
                <c:pt idx="123">
                  <c:v>2026-11-29</c:v>
                </c:pt>
                <c:pt idx="124">
                  <c:v>2026-11-30</c:v>
                </c:pt>
                <c:pt idx="125">
                  <c:v>2026-12-01</c:v>
                </c:pt>
                <c:pt idx="126">
                  <c:v>2026-12-02</c:v>
                </c:pt>
                <c:pt idx="127">
                  <c:v>2026-12-03</c:v>
                </c:pt>
                <c:pt idx="128">
                  <c:v>2026-12-04</c:v>
                </c:pt>
                <c:pt idx="129">
                  <c:v>2026-12-05</c:v>
                </c:pt>
                <c:pt idx="130">
                  <c:v>2026-12-06</c:v>
                </c:pt>
                <c:pt idx="131">
                  <c:v>2026-12-07</c:v>
                </c:pt>
                <c:pt idx="132">
                  <c:v>2026-12-08</c:v>
                </c:pt>
                <c:pt idx="133">
                  <c:v>2026-12-09</c:v>
                </c:pt>
                <c:pt idx="134">
                  <c:v>2026-12-10</c:v>
                </c:pt>
                <c:pt idx="135">
                  <c:v>2026-12-11</c:v>
                </c:pt>
                <c:pt idx="136">
                  <c:v>2026-12-12</c:v>
                </c:pt>
                <c:pt idx="137">
                  <c:v>2026-12-13</c:v>
                </c:pt>
                <c:pt idx="138">
                  <c:v>2026-12-14</c:v>
                </c:pt>
                <c:pt idx="139">
                  <c:v>2026-12-15</c:v>
                </c:pt>
                <c:pt idx="140">
                  <c:v>2026-12-16</c:v>
                </c:pt>
                <c:pt idx="141">
                  <c:v>2026-12-17</c:v>
                </c:pt>
                <c:pt idx="142">
                  <c:v>2026-12-18</c:v>
                </c:pt>
                <c:pt idx="143">
                  <c:v>2026-12-19</c:v>
                </c:pt>
                <c:pt idx="144">
                  <c:v>2026-12-20</c:v>
                </c:pt>
                <c:pt idx="145">
                  <c:v>2026-12-21</c:v>
                </c:pt>
                <c:pt idx="146">
                  <c:v>2026-12-22</c:v>
                </c:pt>
                <c:pt idx="147">
                  <c:v>2026-12-23</c:v>
                </c:pt>
                <c:pt idx="148">
                  <c:v>2026-12-24</c:v>
                </c:pt>
                <c:pt idx="149">
                  <c:v>2026-12-25</c:v>
                </c:pt>
                <c:pt idx="150">
                  <c:v>2026-12-26</c:v>
                </c:pt>
                <c:pt idx="151">
                  <c:v>2026-12-27</c:v>
                </c:pt>
                <c:pt idx="152">
                  <c:v>2026-12-28</c:v>
                </c:pt>
                <c:pt idx="153">
                  <c:v>2026-12-29</c:v>
                </c:pt>
                <c:pt idx="154">
                  <c:v>2026-12-30</c:v>
                </c:pt>
                <c:pt idx="155">
                  <c:v>2026-12-31</c:v>
                </c:pt>
                <c:pt idx="156">
                  <c:v>2027-01-01</c:v>
                </c:pt>
                <c:pt idx="157">
                  <c:v>2027-01-02</c:v>
                </c:pt>
                <c:pt idx="158">
                  <c:v>2027-01-03</c:v>
                </c:pt>
                <c:pt idx="159">
                  <c:v>2027-01-04</c:v>
                </c:pt>
                <c:pt idx="160">
                  <c:v>2027-01-05</c:v>
                </c:pt>
                <c:pt idx="161">
                  <c:v>2027-01-06</c:v>
                </c:pt>
                <c:pt idx="162">
                  <c:v>2027-01-07</c:v>
                </c:pt>
                <c:pt idx="163">
                  <c:v>2027-01-08</c:v>
                </c:pt>
                <c:pt idx="164">
                  <c:v>2027-01-09</c:v>
                </c:pt>
                <c:pt idx="165">
                  <c:v>2027-01-10</c:v>
                </c:pt>
                <c:pt idx="166">
                  <c:v>2027-01-11</c:v>
                </c:pt>
                <c:pt idx="167">
                  <c:v>2027-01-12</c:v>
                </c:pt>
                <c:pt idx="168">
                  <c:v>2027-01-13</c:v>
                </c:pt>
                <c:pt idx="169">
                  <c:v>2027-01-14</c:v>
                </c:pt>
                <c:pt idx="170">
                  <c:v>2027-01-15</c:v>
                </c:pt>
                <c:pt idx="171">
                  <c:v>2027-01-16</c:v>
                </c:pt>
                <c:pt idx="172">
                  <c:v>2027-01-17</c:v>
                </c:pt>
                <c:pt idx="173">
                  <c:v>2027-01-18</c:v>
                </c:pt>
                <c:pt idx="174">
                  <c:v>2027-01-19</c:v>
                </c:pt>
                <c:pt idx="175">
                  <c:v>2027-01-20</c:v>
                </c:pt>
                <c:pt idx="176">
                  <c:v>2027-01-21</c:v>
                </c:pt>
                <c:pt idx="177">
                  <c:v>2027-01-22</c:v>
                </c:pt>
                <c:pt idx="178">
                  <c:v>2027-01-23</c:v>
                </c:pt>
                <c:pt idx="179">
                  <c:v>2027-01-24</c:v>
                </c:pt>
                <c:pt idx="180">
                  <c:v>2027-01-25</c:v>
                </c:pt>
                <c:pt idx="181">
                  <c:v>2027-01-26</c:v>
                </c:pt>
                <c:pt idx="182">
                  <c:v>2027-01-27</c:v>
                </c:pt>
                <c:pt idx="183">
                  <c:v>2027-01-28</c:v>
                </c:pt>
              </c:strCache>
            </c:strRef>
          </c:cat>
          <c:val>
            <c:numRef>
              <c:f>日別データ!$B$2:$B$185</c:f>
              <c:numCache>
                <c:formatCode>General</c:formatCode>
                <c:ptCount val="184"/>
                <c:pt idx="0">
                  <c:v>183</c:v>
                </c:pt>
                <c:pt idx="1">
                  <c:v>265</c:v>
                </c:pt>
                <c:pt idx="2">
                  <c:v>252</c:v>
                </c:pt>
                <c:pt idx="3">
                  <c:v>199</c:v>
                </c:pt>
                <c:pt idx="4">
                  <c:v>324</c:v>
                </c:pt>
                <c:pt idx="5">
                  <c:v>362</c:v>
                </c:pt>
                <c:pt idx="6">
                  <c:v>407</c:v>
                </c:pt>
                <c:pt idx="7">
                  <c:v>429</c:v>
                </c:pt>
                <c:pt idx="8">
                  <c:v>404</c:v>
                </c:pt>
                <c:pt idx="9">
                  <c:v>362</c:v>
                </c:pt>
                <c:pt idx="10">
                  <c:v>298</c:v>
                </c:pt>
                <c:pt idx="11">
                  <c:v>341</c:v>
                </c:pt>
                <c:pt idx="12">
                  <c:v>360</c:v>
                </c:pt>
                <c:pt idx="13">
                  <c:v>382</c:v>
                </c:pt>
                <c:pt idx="14">
                  <c:v>382</c:v>
                </c:pt>
                <c:pt idx="15">
                  <c:v>373</c:v>
                </c:pt>
                <c:pt idx="16">
                  <c:v>369</c:v>
                </c:pt>
                <c:pt idx="17">
                  <c:v>390</c:v>
                </c:pt>
                <c:pt idx="18">
                  <c:v>470</c:v>
                </c:pt>
                <c:pt idx="19">
                  <c:v>483</c:v>
                </c:pt>
                <c:pt idx="20">
                  <c:v>481</c:v>
                </c:pt>
                <c:pt idx="21">
                  <c:v>464</c:v>
                </c:pt>
                <c:pt idx="22">
                  <c:v>451</c:v>
                </c:pt>
                <c:pt idx="23">
                  <c:v>442</c:v>
                </c:pt>
                <c:pt idx="24">
                  <c:v>413</c:v>
                </c:pt>
                <c:pt idx="25">
                  <c:v>486</c:v>
                </c:pt>
                <c:pt idx="26">
                  <c:v>495</c:v>
                </c:pt>
                <c:pt idx="27">
                  <c:v>486</c:v>
                </c:pt>
                <c:pt idx="28">
                  <c:v>502</c:v>
                </c:pt>
                <c:pt idx="29">
                  <c:v>522</c:v>
                </c:pt>
                <c:pt idx="30">
                  <c:v>493</c:v>
                </c:pt>
                <c:pt idx="31">
                  <c:v>477</c:v>
                </c:pt>
                <c:pt idx="32">
                  <c:v>534</c:v>
                </c:pt>
                <c:pt idx="33">
                  <c:v>569</c:v>
                </c:pt>
                <c:pt idx="34">
                  <c:v>522</c:v>
                </c:pt>
                <c:pt idx="35">
                  <c:v>496</c:v>
                </c:pt>
                <c:pt idx="36">
                  <c:v>480</c:v>
                </c:pt>
                <c:pt idx="37">
                  <c:v>437</c:v>
                </c:pt>
                <c:pt idx="38">
                  <c:v>440</c:v>
                </c:pt>
                <c:pt idx="39">
                  <c:v>479</c:v>
                </c:pt>
                <c:pt idx="40">
                  <c:v>477</c:v>
                </c:pt>
                <c:pt idx="41">
                  <c:v>476</c:v>
                </c:pt>
                <c:pt idx="42">
                  <c:v>479</c:v>
                </c:pt>
                <c:pt idx="43">
                  <c:v>469</c:v>
                </c:pt>
                <c:pt idx="44">
                  <c:v>469</c:v>
                </c:pt>
                <c:pt idx="45">
                  <c:v>454</c:v>
                </c:pt>
                <c:pt idx="46">
                  <c:v>504</c:v>
                </c:pt>
                <c:pt idx="47">
                  <c:v>503</c:v>
                </c:pt>
                <c:pt idx="48">
                  <c:v>517</c:v>
                </c:pt>
                <c:pt idx="49">
                  <c:v>497</c:v>
                </c:pt>
                <c:pt idx="50">
                  <c:v>461</c:v>
                </c:pt>
                <c:pt idx="51">
                  <c:v>414</c:v>
                </c:pt>
                <c:pt idx="52">
                  <c:v>327</c:v>
                </c:pt>
                <c:pt idx="53">
                  <c:v>296</c:v>
                </c:pt>
                <c:pt idx="54">
                  <c:v>333</c:v>
                </c:pt>
                <c:pt idx="55">
                  <c:v>393</c:v>
                </c:pt>
                <c:pt idx="56">
                  <c:v>442</c:v>
                </c:pt>
                <c:pt idx="57">
                  <c:v>444</c:v>
                </c:pt>
                <c:pt idx="58">
                  <c:v>443</c:v>
                </c:pt>
                <c:pt idx="59">
                  <c:v>429</c:v>
                </c:pt>
                <c:pt idx="60">
                  <c:v>475</c:v>
                </c:pt>
                <c:pt idx="61">
                  <c:v>474</c:v>
                </c:pt>
                <c:pt idx="62">
                  <c:v>484</c:v>
                </c:pt>
                <c:pt idx="63">
                  <c:v>467</c:v>
                </c:pt>
                <c:pt idx="64">
                  <c:v>423</c:v>
                </c:pt>
                <c:pt idx="65">
                  <c:v>367</c:v>
                </c:pt>
                <c:pt idx="66">
                  <c:v>343</c:v>
                </c:pt>
                <c:pt idx="67">
                  <c:v>363</c:v>
                </c:pt>
                <c:pt idx="68">
                  <c:v>370</c:v>
                </c:pt>
                <c:pt idx="69">
                  <c:v>388</c:v>
                </c:pt>
                <c:pt idx="70">
                  <c:v>401</c:v>
                </c:pt>
                <c:pt idx="71">
                  <c:v>366</c:v>
                </c:pt>
                <c:pt idx="72">
                  <c:v>369</c:v>
                </c:pt>
                <c:pt idx="73">
                  <c:v>308</c:v>
                </c:pt>
                <c:pt idx="74">
                  <c:v>331</c:v>
                </c:pt>
                <c:pt idx="75">
                  <c:v>373</c:v>
                </c:pt>
                <c:pt idx="76">
                  <c:v>377</c:v>
                </c:pt>
                <c:pt idx="77">
                  <c:v>384</c:v>
                </c:pt>
                <c:pt idx="78">
                  <c:v>357</c:v>
                </c:pt>
                <c:pt idx="79">
                  <c:v>352</c:v>
                </c:pt>
                <c:pt idx="80">
                  <c:v>334</c:v>
                </c:pt>
                <c:pt idx="81">
                  <c:v>363</c:v>
                </c:pt>
                <c:pt idx="82">
                  <c:v>376</c:v>
                </c:pt>
                <c:pt idx="83">
                  <c:v>397</c:v>
                </c:pt>
                <c:pt idx="84">
                  <c:v>382</c:v>
                </c:pt>
                <c:pt idx="85">
                  <c:v>368</c:v>
                </c:pt>
                <c:pt idx="86">
                  <c:v>348</c:v>
                </c:pt>
                <c:pt idx="87">
                  <c:v>352</c:v>
                </c:pt>
                <c:pt idx="88">
                  <c:v>396</c:v>
                </c:pt>
                <c:pt idx="89">
                  <c:v>402</c:v>
                </c:pt>
                <c:pt idx="90">
                  <c:v>398</c:v>
                </c:pt>
                <c:pt idx="91">
                  <c:v>396</c:v>
                </c:pt>
                <c:pt idx="92">
                  <c:v>363</c:v>
                </c:pt>
                <c:pt idx="93">
                  <c:v>341</c:v>
                </c:pt>
                <c:pt idx="94">
                  <c:v>346</c:v>
                </c:pt>
                <c:pt idx="95">
                  <c:v>380</c:v>
                </c:pt>
                <c:pt idx="96">
                  <c:v>402</c:v>
                </c:pt>
                <c:pt idx="97">
                  <c:v>419</c:v>
                </c:pt>
                <c:pt idx="98">
                  <c:v>412</c:v>
                </c:pt>
                <c:pt idx="99">
                  <c:v>407</c:v>
                </c:pt>
                <c:pt idx="100">
                  <c:v>390</c:v>
                </c:pt>
                <c:pt idx="101">
                  <c:v>377</c:v>
                </c:pt>
                <c:pt idx="102">
                  <c:v>404</c:v>
                </c:pt>
                <c:pt idx="103">
                  <c:v>417</c:v>
                </c:pt>
                <c:pt idx="104">
                  <c:v>435</c:v>
                </c:pt>
                <c:pt idx="105">
                  <c:v>434</c:v>
                </c:pt>
                <c:pt idx="106">
                  <c:v>402</c:v>
                </c:pt>
                <c:pt idx="107">
                  <c:v>406</c:v>
                </c:pt>
                <c:pt idx="108">
                  <c:v>409</c:v>
                </c:pt>
                <c:pt idx="109">
                  <c:v>420</c:v>
                </c:pt>
                <c:pt idx="110">
                  <c:v>431</c:v>
                </c:pt>
                <c:pt idx="111">
                  <c:v>455</c:v>
                </c:pt>
                <c:pt idx="112">
                  <c:v>443</c:v>
                </c:pt>
                <c:pt idx="113">
                  <c:v>412</c:v>
                </c:pt>
                <c:pt idx="114">
                  <c:v>394</c:v>
                </c:pt>
                <c:pt idx="115">
                  <c:v>356</c:v>
                </c:pt>
                <c:pt idx="116">
                  <c:v>388</c:v>
                </c:pt>
                <c:pt idx="117">
                  <c:v>433</c:v>
                </c:pt>
                <c:pt idx="118">
                  <c:v>441</c:v>
                </c:pt>
                <c:pt idx="119">
                  <c:v>451</c:v>
                </c:pt>
                <c:pt idx="120">
                  <c:v>443</c:v>
                </c:pt>
                <c:pt idx="121">
                  <c:v>412</c:v>
                </c:pt>
                <c:pt idx="122">
                  <c:v>411</c:v>
                </c:pt>
                <c:pt idx="123">
                  <c:v>459</c:v>
                </c:pt>
                <c:pt idx="124">
                  <c:v>495</c:v>
                </c:pt>
                <c:pt idx="125">
                  <c:v>495</c:v>
                </c:pt>
                <c:pt idx="126">
                  <c:v>477</c:v>
                </c:pt>
                <c:pt idx="127">
                  <c:v>464</c:v>
                </c:pt>
                <c:pt idx="128">
                  <c:v>465</c:v>
                </c:pt>
                <c:pt idx="129">
                  <c:v>482</c:v>
                </c:pt>
                <c:pt idx="130">
                  <c:v>512</c:v>
                </c:pt>
                <c:pt idx="131">
                  <c:v>516</c:v>
                </c:pt>
                <c:pt idx="132">
                  <c:v>516</c:v>
                </c:pt>
                <c:pt idx="133">
                  <c:v>508</c:v>
                </c:pt>
                <c:pt idx="134">
                  <c:v>498</c:v>
                </c:pt>
                <c:pt idx="135">
                  <c:v>490</c:v>
                </c:pt>
                <c:pt idx="136">
                  <c:v>472</c:v>
                </c:pt>
                <c:pt idx="137">
                  <c:v>513</c:v>
                </c:pt>
                <c:pt idx="138">
                  <c:v>504</c:v>
                </c:pt>
                <c:pt idx="139">
                  <c:v>499</c:v>
                </c:pt>
                <c:pt idx="140">
                  <c:v>492</c:v>
                </c:pt>
                <c:pt idx="141">
                  <c:v>498</c:v>
                </c:pt>
                <c:pt idx="142">
                  <c:v>477</c:v>
                </c:pt>
                <c:pt idx="143">
                  <c:v>450</c:v>
                </c:pt>
                <c:pt idx="144">
                  <c:v>460</c:v>
                </c:pt>
                <c:pt idx="145">
                  <c:v>463</c:v>
                </c:pt>
                <c:pt idx="146">
                  <c:v>462</c:v>
                </c:pt>
                <c:pt idx="147">
                  <c:v>458</c:v>
                </c:pt>
                <c:pt idx="148">
                  <c:v>444</c:v>
                </c:pt>
                <c:pt idx="149">
                  <c:v>414</c:v>
                </c:pt>
                <c:pt idx="150">
                  <c:v>390</c:v>
                </c:pt>
                <c:pt idx="151">
                  <c:v>375</c:v>
                </c:pt>
                <c:pt idx="152">
                  <c:v>363</c:v>
                </c:pt>
                <c:pt idx="153">
                  <c:v>342</c:v>
                </c:pt>
                <c:pt idx="154">
                  <c:v>332</c:v>
                </c:pt>
                <c:pt idx="155">
                  <c:v>327</c:v>
                </c:pt>
                <c:pt idx="156">
                  <c:v>354</c:v>
                </c:pt>
                <c:pt idx="157">
                  <c:v>417</c:v>
                </c:pt>
                <c:pt idx="158">
                  <c:v>488</c:v>
                </c:pt>
                <c:pt idx="159">
                  <c:v>527</c:v>
                </c:pt>
                <c:pt idx="160">
                  <c:v>546</c:v>
                </c:pt>
                <c:pt idx="161">
                  <c:v>543</c:v>
                </c:pt>
                <c:pt idx="162">
                  <c:v>539</c:v>
                </c:pt>
                <c:pt idx="163">
                  <c:v>524</c:v>
                </c:pt>
                <c:pt idx="164">
                  <c:v>519</c:v>
                </c:pt>
                <c:pt idx="165">
                  <c:v>546</c:v>
                </c:pt>
                <c:pt idx="166">
                  <c:v>556</c:v>
                </c:pt>
                <c:pt idx="167">
                  <c:v>557</c:v>
                </c:pt>
                <c:pt idx="168">
                  <c:v>571</c:v>
                </c:pt>
                <c:pt idx="169">
                  <c:v>564</c:v>
                </c:pt>
                <c:pt idx="170">
                  <c:v>533</c:v>
                </c:pt>
                <c:pt idx="171">
                  <c:v>527</c:v>
                </c:pt>
                <c:pt idx="172">
                  <c:v>564</c:v>
                </c:pt>
                <c:pt idx="173">
                  <c:v>567</c:v>
                </c:pt>
                <c:pt idx="174">
                  <c:v>567</c:v>
                </c:pt>
                <c:pt idx="175">
                  <c:v>570</c:v>
                </c:pt>
                <c:pt idx="176">
                  <c:v>563</c:v>
                </c:pt>
                <c:pt idx="177">
                  <c:v>544</c:v>
                </c:pt>
                <c:pt idx="178">
                  <c:v>549</c:v>
                </c:pt>
                <c:pt idx="179">
                  <c:v>577</c:v>
                </c:pt>
                <c:pt idx="180">
                  <c:v>503</c:v>
                </c:pt>
                <c:pt idx="181">
                  <c:v>494</c:v>
                </c:pt>
                <c:pt idx="182">
                  <c:v>488</c:v>
                </c:pt>
                <c:pt idx="183">
                  <c:v>493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0123320"/>
        <c:axId val="13619016"/>
      </c:lineChart>
      <c:catAx>
        <c:axId val="2012332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日付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\-dd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3619016"/>
        <c:crosses val="autoZero"/>
        <c:auto val="1"/>
        <c:lblAlgn val="ctr"/>
        <c:lblOffset val="100"/>
        <c:noMultiLvlLbl val="0"/>
      </c:catAx>
      <c:valAx>
        <c:axId val="1361901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件数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012332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19</xdr:col>
      <xdr:colOff>295560</xdr:colOff>
      <xdr:row>19</xdr:row>
      <xdr:rowOff>170640</xdr:rowOff>
    </xdr:to>
    <xdr:graphicFrame>
      <xdr:nvGraphicFramePr>
        <xdr:cNvPr id="1" name="Chart 1"/>
        <xdr:cNvGraphicFramePr/>
      </xdr:nvGraphicFramePr>
      <xdr:xfrm>
        <a:off x="2444040" y="190440"/>
        <a:ext cx="100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n">
        <v>46232</v>
      </c>
      <c r="B2" s="3" t="n">
        <v>183</v>
      </c>
    </row>
    <row r="3" customFormat="false" ht="15" hidden="false" customHeight="false" outlineLevel="0" collapsed="false">
      <c r="A3" s="2" t="n">
        <v>46233</v>
      </c>
      <c r="B3" s="3" t="n">
        <v>265</v>
      </c>
    </row>
    <row r="4" customFormat="false" ht="15" hidden="false" customHeight="false" outlineLevel="0" collapsed="false">
      <c r="A4" s="2" t="n">
        <v>46234</v>
      </c>
      <c r="B4" s="3" t="n">
        <v>252</v>
      </c>
    </row>
    <row r="5" customFormat="false" ht="15" hidden="false" customHeight="false" outlineLevel="0" collapsed="false">
      <c r="A5" s="2" t="n">
        <v>46235</v>
      </c>
      <c r="B5" s="3" t="n">
        <v>199</v>
      </c>
    </row>
    <row r="6" customFormat="false" ht="15" hidden="false" customHeight="false" outlineLevel="0" collapsed="false">
      <c r="A6" s="2" t="n">
        <v>46236</v>
      </c>
      <c r="B6" s="3" t="n">
        <v>324</v>
      </c>
    </row>
    <row r="7" customFormat="false" ht="15" hidden="false" customHeight="false" outlineLevel="0" collapsed="false">
      <c r="A7" s="2" t="n">
        <v>46237</v>
      </c>
      <c r="B7" s="3" t="n">
        <v>362</v>
      </c>
    </row>
    <row r="8" customFormat="false" ht="15" hidden="false" customHeight="false" outlineLevel="0" collapsed="false">
      <c r="A8" s="2" t="n">
        <v>46238</v>
      </c>
      <c r="B8" s="3" t="n">
        <v>407</v>
      </c>
    </row>
    <row r="9" customFormat="false" ht="15" hidden="false" customHeight="false" outlineLevel="0" collapsed="false">
      <c r="A9" s="2" t="n">
        <v>46239</v>
      </c>
      <c r="B9" s="3" t="n">
        <v>429</v>
      </c>
    </row>
    <row r="10" customFormat="false" ht="15" hidden="false" customHeight="false" outlineLevel="0" collapsed="false">
      <c r="A10" s="2" t="n">
        <v>46240</v>
      </c>
      <c r="B10" s="3" t="n">
        <v>404</v>
      </c>
    </row>
    <row r="11" customFormat="false" ht="15" hidden="false" customHeight="false" outlineLevel="0" collapsed="false">
      <c r="A11" s="2" t="n">
        <v>46241</v>
      </c>
      <c r="B11" s="3" t="n">
        <v>362</v>
      </c>
    </row>
    <row r="12" customFormat="false" ht="15" hidden="false" customHeight="false" outlineLevel="0" collapsed="false">
      <c r="A12" s="2" t="n">
        <v>46242</v>
      </c>
      <c r="B12" s="3" t="n">
        <v>298</v>
      </c>
    </row>
    <row r="13" customFormat="false" ht="15" hidden="false" customHeight="false" outlineLevel="0" collapsed="false">
      <c r="A13" s="2" t="n">
        <v>46243</v>
      </c>
      <c r="B13" s="3" t="n">
        <v>341</v>
      </c>
    </row>
    <row r="14" customFormat="false" ht="15" hidden="false" customHeight="false" outlineLevel="0" collapsed="false">
      <c r="A14" s="2" t="n">
        <v>46244</v>
      </c>
      <c r="B14" s="3" t="n">
        <v>360</v>
      </c>
    </row>
    <row r="15" customFormat="false" ht="15" hidden="false" customHeight="false" outlineLevel="0" collapsed="false">
      <c r="A15" s="2" t="n">
        <v>46245</v>
      </c>
      <c r="B15" s="3" t="n">
        <v>382</v>
      </c>
    </row>
    <row r="16" customFormat="false" ht="15" hidden="false" customHeight="false" outlineLevel="0" collapsed="false">
      <c r="A16" s="2" t="n">
        <v>46246</v>
      </c>
      <c r="B16" s="3" t="n">
        <v>382</v>
      </c>
    </row>
    <row r="17" customFormat="false" ht="15" hidden="false" customHeight="false" outlineLevel="0" collapsed="false">
      <c r="A17" s="2" t="n">
        <v>46247</v>
      </c>
      <c r="B17" s="3" t="n">
        <v>373</v>
      </c>
    </row>
    <row r="18" customFormat="false" ht="15" hidden="false" customHeight="false" outlineLevel="0" collapsed="false">
      <c r="A18" s="2" t="n">
        <v>46248</v>
      </c>
      <c r="B18" s="3" t="n">
        <v>369</v>
      </c>
    </row>
    <row r="19" customFormat="false" ht="15" hidden="false" customHeight="false" outlineLevel="0" collapsed="false">
      <c r="A19" s="2" t="n">
        <v>46249</v>
      </c>
      <c r="B19" s="3" t="n">
        <v>390</v>
      </c>
    </row>
    <row r="20" customFormat="false" ht="15" hidden="false" customHeight="false" outlineLevel="0" collapsed="false">
      <c r="A20" s="2" t="n">
        <v>46250</v>
      </c>
      <c r="B20" s="3" t="n">
        <v>470</v>
      </c>
    </row>
    <row r="21" customFormat="false" ht="15" hidden="false" customHeight="false" outlineLevel="0" collapsed="false">
      <c r="A21" s="2" t="n">
        <v>46251</v>
      </c>
      <c r="B21" s="3" t="n">
        <v>483</v>
      </c>
    </row>
    <row r="22" customFormat="false" ht="15" hidden="false" customHeight="false" outlineLevel="0" collapsed="false">
      <c r="A22" s="2" t="n">
        <v>46252</v>
      </c>
      <c r="B22" s="3" t="n">
        <v>481</v>
      </c>
    </row>
    <row r="23" customFormat="false" ht="15" hidden="false" customHeight="false" outlineLevel="0" collapsed="false">
      <c r="A23" s="2" t="n">
        <v>46253</v>
      </c>
      <c r="B23" s="3" t="n">
        <v>464</v>
      </c>
    </row>
    <row r="24" customFormat="false" ht="15" hidden="false" customHeight="false" outlineLevel="0" collapsed="false">
      <c r="A24" s="2" t="n">
        <v>46254</v>
      </c>
      <c r="B24" s="3" t="n">
        <v>451</v>
      </c>
    </row>
    <row r="25" customFormat="false" ht="15" hidden="false" customHeight="false" outlineLevel="0" collapsed="false">
      <c r="A25" s="2" t="n">
        <v>46255</v>
      </c>
      <c r="B25" s="3" t="n">
        <v>442</v>
      </c>
    </row>
    <row r="26" customFormat="false" ht="15" hidden="false" customHeight="false" outlineLevel="0" collapsed="false">
      <c r="A26" s="2" t="n">
        <v>46256</v>
      </c>
      <c r="B26" s="3" t="n">
        <v>413</v>
      </c>
    </row>
    <row r="27" customFormat="false" ht="15" hidden="false" customHeight="false" outlineLevel="0" collapsed="false">
      <c r="A27" s="2" t="n">
        <v>46257</v>
      </c>
      <c r="B27" s="3" t="n">
        <v>486</v>
      </c>
    </row>
    <row r="28" customFormat="false" ht="15" hidden="false" customHeight="false" outlineLevel="0" collapsed="false">
      <c r="A28" s="2" t="n">
        <v>46258</v>
      </c>
      <c r="B28" s="3" t="n">
        <v>495</v>
      </c>
    </row>
    <row r="29" customFormat="false" ht="15" hidden="false" customHeight="false" outlineLevel="0" collapsed="false">
      <c r="A29" s="2" t="n">
        <v>46259</v>
      </c>
      <c r="B29" s="3" t="n">
        <v>486</v>
      </c>
    </row>
    <row r="30" customFormat="false" ht="15" hidden="false" customHeight="false" outlineLevel="0" collapsed="false">
      <c r="A30" s="2" t="n">
        <v>46260</v>
      </c>
      <c r="B30" s="3" t="n">
        <v>502</v>
      </c>
    </row>
    <row r="31" customFormat="false" ht="15" hidden="false" customHeight="false" outlineLevel="0" collapsed="false">
      <c r="A31" s="2" t="n">
        <v>46261</v>
      </c>
      <c r="B31" s="3" t="n">
        <v>522</v>
      </c>
    </row>
    <row r="32" customFormat="false" ht="15" hidden="false" customHeight="false" outlineLevel="0" collapsed="false">
      <c r="A32" s="2" t="n">
        <v>46262</v>
      </c>
      <c r="B32" s="3" t="n">
        <v>493</v>
      </c>
    </row>
    <row r="33" customFormat="false" ht="15" hidden="false" customHeight="false" outlineLevel="0" collapsed="false">
      <c r="A33" s="2" t="n">
        <v>46263</v>
      </c>
      <c r="B33" s="3" t="n">
        <v>477</v>
      </c>
    </row>
    <row r="34" customFormat="false" ht="15" hidden="false" customHeight="false" outlineLevel="0" collapsed="false">
      <c r="A34" s="2" t="n">
        <v>46264</v>
      </c>
      <c r="B34" s="3" t="n">
        <v>534</v>
      </c>
    </row>
    <row r="35" customFormat="false" ht="15" hidden="false" customHeight="false" outlineLevel="0" collapsed="false">
      <c r="A35" s="2" t="n">
        <v>46265</v>
      </c>
      <c r="B35" s="3" t="n">
        <v>569</v>
      </c>
    </row>
    <row r="36" customFormat="false" ht="15" hidden="false" customHeight="false" outlineLevel="0" collapsed="false">
      <c r="A36" s="2" t="n">
        <v>46266</v>
      </c>
      <c r="B36" s="3" t="n">
        <v>522</v>
      </c>
    </row>
    <row r="37" customFormat="false" ht="15" hidden="false" customHeight="false" outlineLevel="0" collapsed="false">
      <c r="A37" s="2" t="n">
        <v>46267</v>
      </c>
      <c r="B37" s="3" t="n">
        <v>496</v>
      </c>
    </row>
    <row r="38" customFormat="false" ht="15" hidden="false" customHeight="false" outlineLevel="0" collapsed="false">
      <c r="A38" s="2" t="n">
        <v>46268</v>
      </c>
      <c r="B38" s="3" t="n">
        <v>480</v>
      </c>
    </row>
    <row r="39" customFormat="false" ht="15" hidden="false" customHeight="false" outlineLevel="0" collapsed="false">
      <c r="A39" s="2" t="n">
        <v>46269</v>
      </c>
      <c r="B39" s="3" t="n">
        <v>437</v>
      </c>
    </row>
    <row r="40" customFormat="false" ht="15" hidden="false" customHeight="false" outlineLevel="0" collapsed="false">
      <c r="A40" s="2" t="n">
        <v>46270</v>
      </c>
      <c r="B40" s="3" t="n">
        <v>440</v>
      </c>
    </row>
    <row r="41" customFormat="false" ht="15" hidden="false" customHeight="false" outlineLevel="0" collapsed="false">
      <c r="A41" s="2" t="n">
        <v>46271</v>
      </c>
      <c r="B41" s="3" t="n">
        <v>479</v>
      </c>
    </row>
    <row r="42" customFormat="false" ht="15" hidden="false" customHeight="false" outlineLevel="0" collapsed="false">
      <c r="A42" s="2" t="n">
        <v>46272</v>
      </c>
      <c r="B42" s="3" t="n">
        <v>477</v>
      </c>
    </row>
    <row r="43" customFormat="false" ht="15" hidden="false" customHeight="false" outlineLevel="0" collapsed="false">
      <c r="A43" s="2" t="n">
        <v>46273</v>
      </c>
      <c r="B43" s="3" t="n">
        <v>476</v>
      </c>
    </row>
    <row r="44" customFormat="false" ht="15" hidden="false" customHeight="false" outlineLevel="0" collapsed="false">
      <c r="A44" s="2" t="n">
        <v>46274</v>
      </c>
      <c r="B44" s="3" t="n">
        <v>479</v>
      </c>
    </row>
    <row r="45" customFormat="false" ht="15" hidden="false" customHeight="false" outlineLevel="0" collapsed="false">
      <c r="A45" s="2" t="n">
        <v>46275</v>
      </c>
      <c r="B45" s="3" t="n">
        <v>469</v>
      </c>
    </row>
    <row r="46" customFormat="false" ht="15" hidden="false" customHeight="false" outlineLevel="0" collapsed="false">
      <c r="A46" s="2" t="n">
        <v>46276</v>
      </c>
      <c r="B46" s="3" t="n">
        <v>469</v>
      </c>
    </row>
    <row r="47" customFormat="false" ht="15" hidden="false" customHeight="false" outlineLevel="0" collapsed="false">
      <c r="A47" s="2" t="n">
        <v>46277</v>
      </c>
      <c r="B47" s="3" t="n">
        <v>454</v>
      </c>
    </row>
    <row r="48" customFormat="false" ht="15" hidden="false" customHeight="false" outlineLevel="0" collapsed="false">
      <c r="A48" s="2" t="n">
        <v>46278</v>
      </c>
      <c r="B48" s="3" t="n">
        <v>504</v>
      </c>
    </row>
    <row r="49" customFormat="false" ht="15" hidden="false" customHeight="false" outlineLevel="0" collapsed="false">
      <c r="A49" s="2" t="n">
        <v>46279</v>
      </c>
      <c r="B49" s="3" t="n">
        <v>503</v>
      </c>
    </row>
    <row r="50" customFormat="false" ht="15" hidden="false" customHeight="false" outlineLevel="0" collapsed="false">
      <c r="A50" s="2" t="n">
        <v>46280</v>
      </c>
      <c r="B50" s="3" t="n">
        <v>517</v>
      </c>
    </row>
    <row r="51" customFormat="false" ht="15" hidden="false" customHeight="false" outlineLevel="0" collapsed="false">
      <c r="A51" s="2" t="n">
        <v>46281</v>
      </c>
      <c r="B51" s="3" t="n">
        <v>497</v>
      </c>
    </row>
    <row r="52" customFormat="false" ht="15" hidden="false" customHeight="false" outlineLevel="0" collapsed="false">
      <c r="A52" s="2" t="n">
        <v>46282</v>
      </c>
      <c r="B52" s="3" t="n">
        <v>461</v>
      </c>
    </row>
    <row r="53" customFormat="false" ht="15" hidden="false" customHeight="false" outlineLevel="0" collapsed="false">
      <c r="A53" s="2" t="n">
        <v>46283</v>
      </c>
      <c r="B53" s="3" t="n">
        <v>414</v>
      </c>
    </row>
    <row r="54" customFormat="false" ht="15" hidden="false" customHeight="false" outlineLevel="0" collapsed="false">
      <c r="A54" s="2" t="n">
        <v>46284</v>
      </c>
      <c r="B54" s="3" t="n">
        <v>327</v>
      </c>
    </row>
    <row r="55" customFormat="false" ht="15" hidden="false" customHeight="false" outlineLevel="0" collapsed="false">
      <c r="A55" s="2" t="n">
        <v>46285</v>
      </c>
      <c r="B55" s="3" t="n">
        <v>296</v>
      </c>
    </row>
    <row r="56" customFormat="false" ht="15" hidden="false" customHeight="false" outlineLevel="0" collapsed="false">
      <c r="A56" s="2" t="n">
        <v>46286</v>
      </c>
      <c r="B56" s="3" t="n">
        <v>333</v>
      </c>
    </row>
    <row r="57" customFormat="false" ht="15" hidden="false" customHeight="false" outlineLevel="0" collapsed="false">
      <c r="A57" s="2" t="n">
        <v>46287</v>
      </c>
      <c r="B57" s="3" t="n">
        <v>393</v>
      </c>
    </row>
    <row r="58" customFormat="false" ht="15" hidden="false" customHeight="false" outlineLevel="0" collapsed="false">
      <c r="A58" s="2" t="n">
        <v>46288</v>
      </c>
      <c r="B58" s="3" t="n">
        <v>442</v>
      </c>
    </row>
    <row r="59" customFormat="false" ht="15" hidden="false" customHeight="false" outlineLevel="0" collapsed="false">
      <c r="A59" s="2" t="n">
        <v>46289</v>
      </c>
      <c r="B59" s="3" t="n">
        <v>444</v>
      </c>
    </row>
    <row r="60" customFormat="false" ht="15" hidden="false" customHeight="false" outlineLevel="0" collapsed="false">
      <c r="A60" s="2" t="n">
        <v>46290</v>
      </c>
      <c r="B60" s="3" t="n">
        <v>443</v>
      </c>
    </row>
    <row r="61" customFormat="false" ht="15" hidden="false" customHeight="false" outlineLevel="0" collapsed="false">
      <c r="A61" s="2" t="n">
        <v>46291</v>
      </c>
      <c r="B61" s="3" t="n">
        <v>429</v>
      </c>
    </row>
    <row r="62" customFormat="false" ht="15" hidden="false" customHeight="false" outlineLevel="0" collapsed="false">
      <c r="A62" s="2" t="n">
        <v>46292</v>
      </c>
      <c r="B62" s="3" t="n">
        <v>475</v>
      </c>
    </row>
    <row r="63" customFormat="false" ht="15" hidden="false" customHeight="false" outlineLevel="0" collapsed="false">
      <c r="A63" s="2" t="n">
        <v>46293</v>
      </c>
      <c r="B63" s="3" t="n">
        <v>474</v>
      </c>
    </row>
    <row r="64" customFormat="false" ht="15" hidden="false" customHeight="false" outlineLevel="0" collapsed="false">
      <c r="A64" s="2" t="n">
        <v>46294</v>
      </c>
      <c r="B64" s="3" t="n">
        <v>484</v>
      </c>
    </row>
    <row r="65" customFormat="false" ht="15" hidden="false" customHeight="false" outlineLevel="0" collapsed="false">
      <c r="A65" s="2" t="n">
        <v>46295</v>
      </c>
      <c r="B65" s="3" t="n">
        <v>467</v>
      </c>
    </row>
    <row r="66" customFormat="false" ht="15" hidden="false" customHeight="false" outlineLevel="0" collapsed="false">
      <c r="A66" s="2" t="n">
        <v>46296</v>
      </c>
      <c r="B66" s="3" t="n">
        <v>423</v>
      </c>
    </row>
    <row r="67" customFormat="false" ht="15" hidden="false" customHeight="false" outlineLevel="0" collapsed="false">
      <c r="A67" s="2" t="n">
        <v>46297</v>
      </c>
      <c r="B67" s="3" t="n">
        <v>367</v>
      </c>
    </row>
    <row r="68" customFormat="false" ht="15" hidden="false" customHeight="false" outlineLevel="0" collapsed="false">
      <c r="A68" s="2" t="n">
        <v>46298</v>
      </c>
      <c r="B68" s="3" t="n">
        <v>343</v>
      </c>
    </row>
    <row r="69" customFormat="false" ht="15" hidden="false" customHeight="false" outlineLevel="0" collapsed="false">
      <c r="A69" s="2" t="n">
        <v>46299</v>
      </c>
      <c r="B69" s="3" t="n">
        <v>363</v>
      </c>
    </row>
    <row r="70" customFormat="false" ht="15" hidden="false" customHeight="false" outlineLevel="0" collapsed="false">
      <c r="A70" s="2" t="n">
        <v>46300</v>
      </c>
      <c r="B70" s="3" t="n">
        <v>370</v>
      </c>
    </row>
    <row r="71" customFormat="false" ht="15" hidden="false" customHeight="false" outlineLevel="0" collapsed="false">
      <c r="A71" s="2" t="n">
        <v>46301</v>
      </c>
      <c r="B71" s="3" t="n">
        <v>388</v>
      </c>
    </row>
    <row r="72" customFormat="false" ht="15" hidden="false" customHeight="false" outlineLevel="0" collapsed="false">
      <c r="A72" s="2" t="n">
        <v>46302</v>
      </c>
      <c r="B72" s="3" t="n">
        <v>401</v>
      </c>
    </row>
    <row r="73" customFormat="false" ht="15" hidden="false" customHeight="false" outlineLevel="0" collapsed="false">
      <c r="A73" s="2" t="n">
        <v>46303</v>
      </c>
      <c r="B73" s="3" t="n">
        <v>366</v>
      </c>
    </row>
    <row r="74" customFormat="false" ht="15" hidden="false" customHeight="false" outlineLevel="0" collapsed="false">
      <c r="A74" s="2" t="n">
        <v>46304</v>
      </c>
      <c r="B74" s="3" t="n">
        <v>369</v>
      </c>
    </row>
    <row r="75" customFormat="false" ht="15" hidden="false" customHeight="false" outlineLevel="0" collapsed="false">
      <c r="A75" s="2" t="n">
        <v>46305</v>
      </c>
      <c r="B75" s="3" t="n">
        <v>308</v>
      </c>
    </row>
    <row r="76" customFormat="false" ht="15" hidden="false" customHeight="false" outlineLevel="0" collapsed="false">
      <c r="A76" s="2" t="n">
        <v>46306</v>
      </c>
      <c r="B76" s="3" t="n">
        <v>331</v>
      </c>
    </row>
    <row r="77" customFormat="false" ht="15" hidden="false" customHeight="false" outlineLevel="0" collapsed="false">
      <c r="A77" s="2" t="n">
        <v>46307</v>
      </c>
      <c r="B77" s="3" t="n">
        <v>373</v>
      </c>
    </row>
    <row r="78" customFormat="false" ht="15" hidden="false" customHeight="false" outlineLevel="0" collapsed="false">
      <c r="A78" s="2" t="n">
        <v>46308</v>
      </c>
      <c r="B78" s="3" t="n">
        <v>377</v>
      </c>
    </row>
    <row r="79" customFormat="false" ht="15" hidden="false" customHeight="false" outlineLevel="0" collapsed="false">
      <c r="A79" s="2" t="n">
        <v>46309</v>
      </c>
      <c r="B79" s="3" t="n">
        <v>384</v>
      </c>
    </row>
    <row r="80" customFormat="false" ht="15" hidden="false" customHeight="false" outlineLevel="0" collapsed="false">
      <c r="A80" s="2" t="n">
        <v>46310</v>
      </c>
      <c r="B80" s="3" t="n">
        <v>357</v>
      </c>
    </row>
    <row r="81" customFormat="false" ht="15" hidden="false" customHeight="false" outlineLevel="0" collapsed="false">
      <c r="A81" s="2" t="n">
        <v>46311</v>
      </c>
      <c r="B81" s="3" t="n">
        <v>352</v>
      </c>
    </row>
    <row r="82" customFormat="false" ht="15" hidden="false" customHeight="false" outlineLevel="0" collapsed="false">
      <c r="A82" s="2" t="n">
        <v>46312</v>
      </c>
      <c r="B82" s="3" t="n">
        <v>334</v>
      </c>
    </row>
    <row r="83" customFormat="false" ht="15" hidden="false" customHeight="false" outlineLevel="0" collapsed="false">
      <c r="A83" s="2" t="n">
        <v>46313</v>
      </c>
      <c r="B83" s="3" t="n">
        <v>363</v>
      </c>
    </row>
    <row r="84" customFormat="false" ht="15" hidden="false" customHeight="false" outlineLevel="0" collapsed="false">
      <c r="A84" s="2" t="n">
        <v>46314</v>
      </c>
      <c r="B84" s="3" t="n">
        <v>376</v>
      </c>
    </row>
    <row r="85" customFormat="false" ht="15" hidden="false" customHeight="false" outlineLevel="0" collapsed="false">
      <c r="A85" s="2" t="n">
        <v>46315</v>
      </c>
      <c r="B85" s="3" t="n">
        <v>397</v>
      </c>
    </row>
    <row r="86" customFormat="false" ht="15" hidden="false" customHeight="false" outlineLevel="0" collapsed="false">
      <c r="A86" s="2" t="n">
        <v>46316</v>
      </c>
      <c r="B86" s="3" t="n">
        <v>382</v>
      </c>
    </row>
    <row r="87" customFormat="false" ht="15" hidden="false" customHeight="false" outlineLevel="0" collapsed="false">
      <c r="A87" s="2" t="n">
        <v>46317</v>
      </c>
      <c r="B87" s="3" t="n">
        <v>368</v>
      </c>
    </row>
    <row r="88" customFormat="false" ht="15" hidden="false" customHeight="false" outlineLevel="0" collapsed="false">
      <c r="A88" s="2" t="n">
        <v>46318</v>
      </c>
      <c r="B88" s="3" t="n">
        <v>348</v>
      </c>
    </row>
    <row r="89" customFormat="false" ht="15" hidden="false" customHeight="false" outlineLevel="0" collapsed="false">
      <c r="A89" s="2" t="n">
        <v>46319</v>
      </c>
      <c r="B89" s="3" t="n">
        <v>352</v>
      </c>
    </row>
    <row r="90" customFormat="false" ht="15" hidden="false" customHeight="false" outlineLevel="0" collapsed="false">
      <c r="A90" s="2" t="n">
        <v>46320</v>
      </c>
      <c r="B90" s="3" t="n">
        <v>396</v>
      </c>
    </row>
    <row r="91" customFormat="false" ht="15" hidden="false" customHeight="false" outlineLevel="0" collapsed="false">
      <c r="A91" s="2" t="n">
        <v>46321</v>
      </c>
      <c r="B91" s="3" t="n">
        <v>402</v>
      </c>
    </row>
    <row r="92" customFormat="false" ht="15" hidden="false" customHeight="false" outlineLevel="0" collapsed="false">
      <c r="A92" s="2" t="n">
        <v>46322</v>
      </c>
      <c r="B92" s="3" t="n">
        <v>398</v>
      </c>
    </row>
    <row r="93" customFormat="false" ht="15" hidden="false" customHeight="false" outlineLevel="0" collapsed="false">
      <c r="A93" s="2" t="n">
        <v>46323</v>
      </c>
      <c r="B93" s="3" t="n">
        <v>396</v>
      </c>
    </row>
    <row r="94" customFormat="false" ht="15" hidden="false" customHeight="false" outlineLevel="0" collapsed="false">
      <c r="A94" s="2" t="n">
        <v>46324</v>
      </c>
      <c r="B94" s="3" t="n">
        <v>363</v>
      </c>
    </row>
    <row r="95" customFormat="false" ht="15" hidden="false" customHeight="false" outlineLevel="0" collapsed="false">
      <c r="A95" s="2" t="n">
        <v>46325</v>
      </c>
      <c r="B95" s="3" t="n">
        <v>341</v>
      </c>
    </row>
    <row r="96" customFormat="false" ht="15" hidden="false" customHeight="false" outlineLevel="0" collapsed="false">
      <c r="A96" s="2" t="n">
        <v>46326</v>
      </c>
      <c r="B96" s="3" t="n">
        <v>346</v>
      </c>
    </row>
    <row r="97" customFormat="false" ht="15" hidden="false" customHeight="false" outlineLevel="0" collapsed="false">
      <c r="A97" s="2" t="n">
        <v>46327</v>
      </c>
      <c r="B97" s="3" t="n">
        <v>380</v>
      </c>
    </row>
    <row r="98" customFormat="false" ht="15" hidden="false" customHeight="false" outlineLevel="0" collapsed="false">
      <c r="A98" s="2" t="n">
        <v>46328</v>
      </c>
      <c r="B98" s="3" t="n">
        <v>402</v>
      </c>
    </row>
    <row r="99" customFormat="false" ht="15" hidden="false" customHeight="false" outlineLevel="0" collapsed="false">
      <c r="A99" s="2" t="n">
        <v>46329</v>
      </c>
      <c r="B99" s="3" t="n">
        <v>419</v>
      </c>
    </row>
    <row r="100" customFormat="false" ht="15" hidden="false" customHeight="false" outlineLevel="0" collapsed="false">
      <c r="A100" s="2" t="n">
        <v>46330</v>
      </c>
      <c r="B100" s="3" t="n">
        <v>412</v>
      </c>
    </row>
    <row r="101" customFormat="false" ht="15" hidden="false" customHeight="false" outlineLevel="0" collapsed="false">
      <c r="A101" s="2" t="n">
        <v>46331</v>
      </c>
      <c r="B101" s="3" t="n">
        <v>407</v>
      </c>
    </row>
    <row r="102" customFormat="false" ht="15" hidden="false" customHeight="false" outlineLevel="0" collapsed="false">
      <c r="A102" s="2" t="n">
        <v>46332</v>
      </c>
      <c r="B102" s="3" t="n">
        <v>390</v>
      </c>
    </row>
    <row r="103" customFormat="false" ht="15" hidden="false" customHeight="false" outlineLevel="0" collapsed="false">
      <c r="A103" s="2" t="n">
        <v>46333</v>
      </c>
      <c r="B103" s="3" t="n">
        <v>377</v>
      </c>
    </row>
    <row r="104" customFormat="false" ht="15" hidden="false" customHeight="false" outlineLevel="0" collapsed="false">
      <c r="A104" s="2" t="n">
        <v>46334</v>
      </c>
      <c r="B104" s="3" t="n">
        <v>404</v>
      </c>
    </row>
    <row r="105" customFormat="false" ht="15" hidden="false" customHeight="false" outlineLevel="0" collapsed="false">
      <c r="A105" s="2" t="n">
        <v>46335</v>
      </c>
      <c r="B105" s="3" t="n">
        <v>417</v>
      </c>
    </row>
    <row r="106" customFormat="false" ht="15" hidden="false" customHeight="false" outlineLevel="0" collapsed="false">
      <c r="A106" s="2" t="n">
        <v>46336</v>
      </c>
      <c r="B106" s="3" t="n">
        <v>435</v>
      </c>
    </row>
    <row r="107" customFormat="false" ht="15" hidden="false" customHeight="false" outlineLevel="0" collapsed="false">
      <c r="A107" s="2" t="n">
        <v>46337</v>
      </c>
      <c r="B107" s="3" t="n">
        <v>434</v>
      </c>
    </row>
    <row r="108" customFormat="false" ht="15" hidden="false" customHeight="false" outlineLevel="0" collapsed="false">
      <c r="A108" s="2" t="n">
        <v>46338</v>
      </c>
      <c r="B108" s="3" t="n">
        <v>402</v>
      </c>
    </row>
    <row r="109" customFormat="false" ht="15" hidden="false" customHeight="false" outlineLevel="0" collapsed="false">
      <c r="A109" s="2" t="n">
        <v>46339</v>
      </c>
      <c r="B109" s="3" t="n">
        <v>406</v>
      </c>
    </row>
    <row r="110" customFormat="false" ht="15" hidden="false" customHeight="false" outlineLevel="0" collapsed="false">
      <c r="A110" s="2" t="n">
        <v>46340</v>
      </c>
      <c r="B110" s="3" t="n">
        <v>409</v>
      </c>
    </row>
    <row r="111" customFormat="false" ht="15" hidden="false" customHeight="false" outlineLevel="0" collapsed="false">
      <c r="A111" s="2" t="n">
        <v>46341</v>
      </c>
      <c r="B111" s="3" t="n">
        <v>420</v>
      </c>
    </row>
    <row r="112" customFormat="false" ht="15" hidden="false" customHeight="false" outlineLevel="0" collapsed="false">
      <c r="A112" s="2" t="n">
        <v>46342</v>
      </c>
      <c r="B112" s="3" t="n">
        <v>431</v>
      </c>
    </row>
    <row r="113" customFormat="false" ht="15" hidden="false" customHeight="false" outlineLevel="0" collapsed="false">
      <c r="A113" s="2" t="n">
        <v>46343</v>
      </c>
      <c r="B113" s="3" t="n">
        <v>455</v>
      </c>
    </row>
    <row r="114" customFormat="false" ht="15" hidden="false" customHeight="false" outlineLevel="0" collapsed="false">
      <c r="A114" s="2" t="n">
        <v>46344</v>
      </c>
      <c r="B114" s="3" t="n">
        <v>443</v>
      </c>
    </row>
    <row r="115" customFormat="false" ht="15" hidden="false" customHeight="false" outlineLevel="0" collapsed="false">
      <c r="A115" s="2" t="n">
        <v>46345</v>
      </c>
      <c r="B115" s="3" t="n">
        <v>412</v>
      </c>
    </row>
    <row r="116" customFormat="false" ht="15" hidden="false" customHeight="false" outlineLevel="0" collapsed="false">
      <c r="A116" s="2" t="n">
        <v>46346</v>
      </c>
      <c r="B116" s="3" t="n">
        <v>394</v>
      </c>
    </row>
    <row r="117" customFormat="false" ht="15" hidden="false" customHeight="false" outlineLevel="0" collapsed="false">
      <c r="A117" s="2" t="n">
        <v>46347</v>
      </c>
      <c r="B117" s="3" t="n">
        <v>356</v>
      </c>
    </row>
    <row r="118" customFormat="false" ht="15" hidden="false" customHeight="false" outlineLevel="0" collapsed="false">
      <c r="A118" s="2" t="n">
        <v>46348</v>
      </c>
      <c r="B118" s="3" t="n">
        <v>388</v>
      </c>
    </row>
    <row r="119" customFormat="false" ht="15" hidden="false" customHeight="false" outlineLevel="0" collapsed="false">
      <c r="A119" s="2" t="n">
        <v>46349</v>
      </c>
      <c r="B119" s="3" t="n">
        <v>433</v>
      </c>
    </row>
    <row r="120" customFormat="false" ht="15" hidden="false" customHeight="false" outlineLevel="0" collapsed="false">
      <c r="A120" s="2" t="n">
        <v>46350</v>
      </c>
      <c r="B120" s="3" t="n">
        <v>441</v>
      </c>
    </row>
    <row r="121" customFormat="false" ht="15" hidden="false" customHeight="false" outlineLevel="0" collapsed="false">
      <c r="A121" s="2" t="n">
        <v>46351</v>
      </c>
      <c r="B121" s="3" t="n">
        <v>451</v>
      </c>
    </row>
    <row r="122" customFormat="false" ht="15" hidden="false" customHeight="false" outlineLevel="0" collapsed="false">
      <c r="A122" s="2" t="n">
        <v>46352</v>
      </c>
      <c r="B122" s="3" t="n">
        <v>443</v>
      </c>
    </row>
    <row r="123" customFormat="false" ht="15" hidden="false" customHeight="false" outlineLevel="0" collapsed="false">
      <c r="A123" s="2" t="n">
        <v>46353</v>
      </c>
      <c r="B123" s="3" t="n">
        <v>412</v>
      </c>
    </row>
    <row r="124" customFormat="false" ht="15" hidden="false" customHeight="false" outlineLevel="0" collapsed="false">
      <c r="A124" s="2" t="n">
        <v>46354</v>
      </c>
      <c r="B124" s="3" t="n">
        <v>411</v>
      </c>
    </row>
    <row r="125" customFormat="false" ht="15" hidden="false" customHeight="false" outlineLevel="0" collapsed="false">
      <c r="A125" s="2" t="n">
        <v>46355</v>
      </c>
      <c r="B125" s="3" t="n">
        <v>459</v>
      </c>
    </row>
    <row r="126" customFormat="false" ht="15" hidden="false" customHeight="false" outlineLevel="0" collapsed="false">
      <c r="A126" s="2" t="n">
        <v>46356</v>
      </c>
      <c r="B126" s="3" t="n">
        <v>495</v>
      </c>
    </row>
    <row r="127" customFormat="false" ht="15" hidden="false" customHeight="false" outlineLevel="0" collapsed="false">
      <c r="A127" s="2" t="n">
        <v>46357</v>
      </c>
      <c r="B127" s="3" t="n">
        <v>495</v>
      </c>
    </row>
    <row r="128" customFormat="false" ht="15" hidden="false" customHeight="false" outlineLevel="0" collapsed="false">
      <c r="A128" s="2" t="n">
        <v>46358</v>
      </c>
      <c r="B128" s="3" t="n">
        <v>477</v>
      </c>
    </row>
    <row r="129" customFormat="false" ht="15" hidden="false" customHeight="false" outlineLevel="0" collapsed="false">
      <c r="A129" s="2" t="n">
        <v>46359</v>
      </c>
      <c r="B129" s="3" t="n">
        <v>464</v>
      </c>
    </row>
    <row r="130" customFormat="false" ht="15" hidden="false" customHeight="false" outlineLevel="0" collapsed="false">
      <c r="A130" s="2" t="n">
        <v>46360</v>
      </c>
      <c r="B130" s="3" t="n">
        <v>465</v>
      </c>
    </row>
    <row r="131" customFormat="false" ht="15" hidden="false" customHeight="false" outlineLevel="0" collapsed="false">
      <c r="A131" s="2" t="n">
        <v>46361</v>
      </c>
      <c r="B131" s="3" t="n">
        <v>482</v>
      </c>
    </row>
    <row r="132" customFormat="false" ht="15" hidden="false" customHeight="false" outlineLevel="0" collapsed="false">
      <c r="A132" s="2" t="n">
        <v>46362</v>
      </c>
      <c r="B132" s="3" t="n">
        <v>512</v>
      </c>
    </row>
    <row r="133" customFormat="false" ht="15" hidden="false" customHeight="false" outlineLevel="0" collapsed="false">
      <c r="A133" s="2" t="n">
        <v>46363</v>
      </c>
      <c r="B133" s="3" t="n">
        <v>516</v>
      </c>
    </row>
    <row r="134" customFormat="false" ht="15" hidden="false" customHeight="false" outlineLevel="0" collapsed="false">
      <c r="A134" s="2" t="n">
        <v>46364</v>
      </c>
      <c r="B134" s="3" t="n">
        <v>516</v>
      </c>
    </row>
    <row r="135" customFormat="false" ht="15" hidden="false" customHeight="false" outlineLevel="0" collapsed="false">
      <c r="A135" s="2" t="n">
        <v>46365</v>
      </c>
      <c r="B135" s="3" t="n">
        <v>508</v>
      </c>
    </row>
    <row r="136" customFormat="false" ht="15" hidden="false" customHeight="false" outlineLevel="0" collapsed="false">
      <c r="A136" s="2" t="n">
        <v>46366</v>
      </c>
      <c r="B136" s="3" t="n">
        <v>498</v>
      </c>
    </row>
    <row r="137" customFormat="false" ht="15" hidden="false" customHeight="false" outlineLevel="0" collapsed="false">
      <c r="A137" s="2" t="n">
        <v>46367</v>
      </c>
      <c r="B137" s="3" t="n">
        <v>490</v>
      </c>
    </row>
    <row r="138" customFormat="false" ht="15" hidden="false" customHeight="false" outlineLevel="0" collapsed="false">
      <c r="A138" s="2" t="n">
        <v>46368</v>
      </c>
      <c r="B138" s="3" t="n">
        <v>472</v>
      </c>
    </row>
    <row r="139" customFormat="false" ht="15" hidden="false" customHeight="false" outlineLevel="0" collapsed="false">
      <c r="A139" s="2" t="n">
        <v>46369</v>
      </c>
      <c r="B139" s="3" t="n">
        <v>513</v>
      </c>
    </row>
    <row r="140" customFormat="false" ht="15" hidden="false" customHeight="false" outlineLevel="0" collapsed="false">
      <c r="A140" s="2" t="n">
        <v>46370</v>
      </c>
      <c r="B140" s="3" t="n">
        <v>504</v>
      </c>
    </row>
    <row r="141" customFormat="false" ht="15" hidden="false" customHeight="false" outlineLevel="0" collapsed="false">
      <c r="A141" s="2" t="n">
        <v>46371</v>
      </c>
      <c r="B141" s="3" t="n">
        <v>499</v>
      </c>
    </row>
    <row r="142" customFormat="false" ht="15" hidden="false" customHeight="false" outlineLevel="0" collapsed="false">
      <c r="A142" s="2" t="n">
        <v>46372</v>
      </c>
      <c r="B142" s="3" t="n">
        <v>492</v>
      </c>
    </row>
    <row r="143" customFormat="false" ht="15" hidden="false" customHeight="false" outlineLevel="0" collapsed="false">
      <c r="A143" s="2" t="n">
        <v>46373</v>
      </c>
      <c r="B143" s="3" t="n">
        <v>498</v>
      </c>
    </row>
    <row r="144" customFormat="false" ht="15" hidden="false" customHeight="false" outlineLevel="0" collapsed="false">
      <c r="A144" s="2" t="n">
        <v>46374</v>
      </c>
      <c r="B144" s="3" t="n">
        <v>477</v>
      </c>
    </row>
    <row r="145" customFormat="false" ht="15" hidden="false" customHeight="false" outlineLevel="0" collapsed="false">
      <c r="A145" s="2" t="n">
        <v>46375</v>
      </c>
      <c r="B145" s="3" t="n">
        <v>450</v>
      </c>
    </row>
    <row r="146" customFormat="false" ht="15" hidden="false" customHeight="false" outlineLevel="0" collapsed="false">
      <c r="A146" s="2" t="n">
        <v>46376</v>
      </c>
      <c r="B146" s="3" t="n">
        <v>460</v>
      </c>
    </row>
    <row r="147" customFormat="false" ht="15" hidden="false" customHeight="false" outlineLevel="0" collapsed="false">
      <c r="A147" s="2" t="n">
        <v>46377</v>
      </c>
      <c r="B147" s="3" t="n">
        <v>463</v>
      </c>
    </row>
    <row r="148" customFormat="false" ht="15" hidden="false" customHeight="false" outlineLevel="0" collapsed="false">
      <c r="A148" s="2" t="n">
        <v>46378</v>
      </c>
      <c r="B148" s="3" t="n">
        <v>462</v>
      </c>
    </row>
    <row r="149" customFormat="false" ht="15" hidden="false" customHeight="false" outlineLevel="0" collapsed="false">
      <c r="A149" s="2" t="n">
        <v>46379</v>
      </c>
      <c r="B149" s="3" t="n">
        <v>458</v>
      </c>
    </row>
    <row r="150" customFormat="false" ht="15" hidden="false" customHeight="false" outlineLevel="0" collapsed="false">
      <c r="A150" s="2" t="n">
        <v>46380</v>
      </c>
      <c r="B150" s="3" t="n">
        <v>444</v>
      </c>
    </row>
    <row r="151" customFormat="false" ht="15" hidden="false" customHeight="false" outlineLevel="0" collapsed="false">
      <c r="A151" s="2" t="n">
        <v>46381</v>
      </c>
      <c r="B151" s="3" t="n">
        <v>414</v>
      </c>
    </row>
    <row r="152" customFormat="false" ht="15" hidden="false" customHeight="false" outlineLevel="0" collapsed="false">
      <c r="A152" s="2" t="n">
        <v>46382</v>
      </c>
      <c r="B152" s="3" t="n">
        <v>390</v>
      </c>
    </row>
    <row r="153" customFormat="false" ht="15" hidden="false" customHeight="false" outlineLevel="0" collapsed="false">
      <c r="A153" s="2" t="n">
        <v>46383</v>
      </c>
      <c r="B153" s="3" t="n">
        <v>375</v>
      </c>
    </row>
    <row r="154" customFormat="false" ht="15" hidden="false" customHeight="false" outlineLevel="0" collapsed="false">
      <c r="A154" s="2" t="n">
        <v>46384</v>
      </c>
      <c r="B154" s="3" t="n">
        <v>363</v>
      </c>
    </row>
    <row r="155" customFormat="false" ht="15" hidden="false" customHeight="false" outlineLevel="0" collapsed="false">
      <c r="A155" s="2" t="n">
        <v>46385</v>
      </c>
      <c r="B155" s="3" t="n">
        <v>342</v>
      </c>
    </row>
    <row r="156" customFormat="false" ht="15" hidden="false" customHeight="false" outlineLevel="0" collapsed="false">
      <c r="A156" s="2" t="n">
        <v>46386</v>
      </c>
      <c r="B156" s="3" t="n">
        <v>332</v>
      </c>
    </row>
    <row r="157" customFormat="false" ht="15" hidden="false" customHeight="false" outlineLevel="0" collapsed="false">
      <c r="A157" s="2" t="n">
        <v>46387</v>
      </c>
      <c r="B157" s="3" t="n">
        <v>327</v>
      </c>
    </row>
    <row r="158" customFormat="false" ht="15" hidden="false" customHeight="false" outlineLevel="0" collapsed="false">
      <c r="A158" s="2" t="n">
        <v>46388</v>
      </c>
      <c r="B158" s="3" t="n">
        <v>354</v>
      </c>
    </row>
    <row r="159" customFormat="false" ht="15" hidden="false" customHeight="false" outlineLevel="0" collapsed="false">
      <c r="A159" s="2" t="n">
        <v>46389</v>
      </c>
      <c r="B159" s="3" t="n">
        <v>417</v>
      </c>
    </row>
    <row r="160" customFormat="false" ht="15" hidden="false" customHeight="false" outlineLevel="0" collapsed="false">
      <c r="A160" s="2" t="n">
        <v>46390</v>
      </c>
      <c r="B160" s="3" t="n">
        <v>488</v>
      </c>
    </row>
    <row r="161" customFormat="false" ht="15" hidden="false" customHeight="false" outlineLevel="0" collapsed="false">
      <c r="A161" s="2" t="n">
        <v>46391</v>
      </c>
      <c r="B161" s="3" t="n">
        <v>527</v>
      </c>
    </row>
    <row r="162" customFormat="false" ht="15" hidden="false" customHeight="false" outlineLevel="0" collapsed="false">
      <c r="A162" s="2" t="n">
        <v>46392</v>
      </c>
      <c r="B162" s="3" t="n">
        <v>546</v>
      </c>
    </row>
    <row r="163" customFormat="false" ht="15" hidden="false" customHeight="false" outlineLevel="0" collapsed="false">
      <c r="A163" s="2" t="n">
        <v>46393</v>
      </c>
      <c r="B163" s="3" t="n">
        <v>543</v>
      </c>
    </row>
    <row r="164" customFormat="false" ht="15" hidden="false" customHeight="false" outlineLevel="0" collapsed="false">
      <c r="A164" s="2" t="n">
        <v>46394</v>
      </c>
      <c r="B164" s="3" t="n">
        <v>539</v>
      </c>
    </row>
    <row r="165" customFormat="false" ht="15" hidden="false" customHeight="false" outlineLevel="0" collapsed="false">
      <c r="A165" s="2" t="n">
        <v>46395</v>
      </c>
      <c r="B165" s="3" t="n">
        <v>524</v>
      </c>
    </row>
    <row r="166" customFormat="false" ht="15" hidden="false" customHeight="false" outlineLevel="0" collapsed="false">
      <c r="A166" s="2" t="n">
        <v>46396</v>
      </c>
      <c r="B166" s="3" t="n">
        <v>519</v>
      </c>
    </row>
    <row r="167" customFormat="false" ht="15" hidden="false" customHeight="false" outlineLevel="0" collapsed="false">
      <c r="A167" s="2" t="n">
        <v>46397</v>
      </c>
      <c r="B167" s="3" t="n">
        <v>546</v>
      </c>
    </row>
    <row r="168" customFormat="false" ht="15" hidden="false" customHeight="false" outlineLevel="0" collapsed="false">
      <c r="A168" s="2" t="n">
        <v>46398</v>
      </c>
      <c r="B168" s="3" t="n">
        <v>556</v>
      </c>
    </row>
    <row r="169" customFormat="false" ht="15" hidden="false" customHeight="false" outlineLevel="0" collapsed="false">
      <c r="A169" s="2" t="n">
        <v>46399</v>
      </c>
      <c r="B169" s="3" t="n">
        <v>557</v>
      </c>
    </row>
    <row r="170" customFormat="false" ht="15" hidden="false" customHeight="false" outlineLevel="0" collapsed="false">
      <c r="A170" s="2" t="n">
        <v>46400</v>
      </c>
      <c r="B170" s="3" t="n">
        <v>571</v>
      </c>
    </row>
    <row r="171" customFormat="false" ht="15" hidden="false" customHeight="false" outlineLevel="0" collapsed="false">
      <c r="A171" s="2" t="n">
        <v>46401</v>
      </c>
      <c r="B171" s="3" t="n">
        <v>564</v>
      </c>
    </row>
    <row r="172" customFormat="false" ht="15" hidden="false" customHeight="false" outlineLevel="0" collapsed="false">
      <c r="A172" s="2" t="n">
        <v>46402</v>
      </c>
      <c r="B172" s="3" t="n">
        <v>533</v>
      </c>
    </row>
    <row r="173" customFormat="false" ht="15" hidden="false" customHeight="false" outlineLevel="0" collapsed="false">
      <c r="A173" s="2" t="n">
        <v>46403</v>
      </c>
      <c r="B173" s="3" t="n">
        <v>527</v>
      </c>
    </row>
    <row r="174" customFormat="false" ht="15" hidden="false" customHeight="false" outlineLevel="0" collapsed="false">
      <c r="A174" s="2" t="n">
        <v>46404</v>
      </c>
      <c r="B174" s="3" t="n">
        <v>564</v>
      </c>
    </row>
    <row r="175" customFormat="false" ht="15" hidden="false" customHeight="false" outlineLevel="0" collapsed="false">
      <c r="A175" s="2" t="n">
        <v>46405</v>
      </c>
      <c r="B175" s="3" t="n">
        <v>567</v>
      </c>
    </row>
    <row r="176" customFormat="false" ht="15" hidden="false" customHeight="false" outlineLevel="0" collapsed="false">
      <c r="A176" s="2" t="n">
        <v>46406</v>
      </c>
      <c r="B176" s="3" t="n">
        <v>567</v>
      </c>
    </row>
    <row r="177" customFormat="false" ht="15" hidden="false" customHeight="false" outlineLevel="0" collapsed="false">
      <c r="A177" s="2" t="n">
        <v>46407</v>
      </c>
      <c r="B177" s="3" t="n">
        <v>570</v>
      </c>
    </row>
    <row r="178" customFormat="false" ht="15" hidden="false" customHeight="false" outlineLevel="0" collapsed="false">
      <c r="A178" s="2" t="n">
        <v>46408</v>
      </c>
      <c r="B178" s="3" t="n">
        <v>563</v>
      </c>
    </row>
    <row r="179" customFormat="false" ht="15" hidden="false" customHeight="false" outlineLevel="0" collapsed="false">
      <c r="A179" s="2" t="n">
        <v>46409</v>
      </c>
      <c r="B179" s="3" t="n">
        <v>544</v>
      </c>
    </row>
    <row r="180" customFormat="false" ht="15" hidden="false" customHeight="false" outlineLevel="0" collapsed="false">
      <c r="A180" s="2" t="n">
        <v>46410</v>
      </c>
      <c r="B180" s="3" t="n">
        <v>549</v>
      </c>
    </row>
    <row r="181" customFormat="false" ht="15" hidden="false" customHeight="false" outlineLevel="0" collapsed="false">
      <c r="A181" s="2" t="n">
        <v>46411</v>
      </c>
      <c r="B181" s="3" t="n">
        <v>577</v>
      </c>
    </row>
    <row r="182" customFormat="false" ht="15" hidden="false" customHeight="false" outlineLevel="0" collapsed="false">
      <c r="A182" s="2" t="n">
        <v>46412</v>
      </c>
      <c r="B182" s="3" t="n">
        <v>503</v>
      </c>
    </row>
    <row r="183" customFormat="false" ht="15" hidden="false" customHeight="false" outlineLevel="0" collapsed="false">
      <c r="A183" s="2" t="n">
        <v>46413</v>
      </c>
      <c r="B183" s="3" t="n">
        <v>494</v>
      </c>
    </row>
    <row r="184" customFormat="false" ht="15" hidden="false" customHeight="false" outlineLevel="0" collapsed="false">
      <c r="A184" s="2" t="n">
        <v>46414</v>
      </c>
      <c r="B184" s="3" t="n">
        <v>488</v>
      </c>
    </row>
    <row r="185" customFormat="false" ht="15" hidden="false" customHeight="false" outlineLevel="0" collapsed="false">
      <c r="A185" s="2" t="n">
        <v>46415</v>
      </c>
      <c r="B185" s="3" t="n">
        <v>493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8"/>
  </cols>
  <sheetData>
    <row r="1" customFormat="false" ht="15" hidden="false" customHeight="false" outlineLevel="0" collapsed="false">
      <c r="A1" s="1" t="s">
        <v>2</v>
      </c>
      <c r="B1" s="1" t="s">
        <v>3</v>
      </c>
      <c r="C1" s="1" t="s">
        <v>4</v>
      </c>
    </row>
    <row r="2" customFormat="false" ht="15" hidden="false" customHeight="false" outlineLevel="0" collapsed="false">
      <c r="A2" s="3" t="s">
        <v>5</v>
      </c>
      <c r="B2" s="4" t="n">
        <f aca="false">IFERROR(AVERAGEIFS(日別データ!$B$2:$B$185,日別データ!$A$2:$A$185,"&gt;="&amp;DATE(2026,7,1),日別データ!$A$2:$A$185,"&lt;="&amp;DATE(2026,7,31)),"")</f>
        <v>233.333333333333</v>
      </c>
      <c r="C2" s="3" t="n">
        <f aca="false">COUNTIFS(日別データ!$A$2:$A$185,"&gt;="&amp;DATE(2026,7,1),日別データ!$A$2:$A$185,"&lt;="&amp;DATE(2026,7,31))</f>
        <v>3</v>
      </c>
    </row>
    <row r="3" customFormat="false" ht="15" hidden="false" customHeight="false" outlineLevel="0" collapsed="false">
      <c r="A3" s="3" t="s">
        <v>6</v>
      </c>
      <c r="B3" s="4" t="n">
        <f aca="false">IFERROR(AVERAGEIFS(日別データ!$B$2:$B$185,日別データ!$A$2:$A$185,"&gt;="&amp;DATE(2026,8,1),日別データ!$A$2:$A$185,"&lt;="&amp;DATE(2026,8,31)),"")</f>
        <v>424.193548387097</v>
      </c>
      <c r="C3" s="3" t="n">
        <f aca="false">COUNTIFS(日別データ!$A$2:$A$185,"&gt;="&amp;DATE(2026,8,1),日別データ!$A$2:$A$185,"&lt;="&amp;DATE(2026,8,31))</f>
        <v>31</v>
      </c>
    </row>
    <row r="4" customFormat="false" ht="15" hidden="false" customHeight="false" outlineLevel="0" collapsed="false">
      <c r="A4" s="3" t="s">
        <v>7</v>
      </c>
      <c r="B4" s="4" t="n">
        <f aca="false">IFERROR(AVERAGEIFS(日別データ!$B$2:$B$185,日別データ!$A$2:$A$185,"&gt;="&amp;DATE(2026,9,1),日別データ!$A$2:$A$185,"&lt;="&amp;DATE(2026,9,30)),"")</f>
        <v>452.7</v>
      </c>
      <c r="C4" s="3" t="n">
        <f aca="false">COUNTIFS(日別データ!$A$2:$A$185,"&gt;="&amp;DATE(2026,9,1),日別データ!$A$2:$A$185,"&lt;="&amp;DATE(2026,9,30))</f>
        <v>30</v>
      </c>
    </row>
    <row r="5" customFormat="false" ht="15" hidden="false" customHeight="false" outlineLevel="0" collapsed="false">
      <c r="A5" s="3" t="s">
        <v>8</v>
      </c>
      <c r="B5" s="4" t="n">
        <f aca="false">IFERROR(AVERAGEIFS(日別データ!$B$2:$B$185,日別データ!$A$2:$A$185,"&gt;="&amp;DATE(2026,10,1),日別データ!$A$2:$A$185,"&lt;="&amp;DATE(2026,10,31)),"")</f>
        <v>368.838709677419</v>
      </c>
      <c r="C5" s="3" t="n">
        <f aca="false">COUNTIFS(日別データ!$A$2:$A$185,"&gt;="&amp;DATE(2026,10,1),日別データ!$A$2:$A$185,"&lt;="&amp;DATE(2026,10,31))</f>
        <v>31</v>
      </c>
    </row>
    <row r="6" customFormat="false" ht="15" hidden="false" customHeight="false" outlineLevel="0" collapsed="false">
      <c r="A6" s="3" t="s">
        <v>9</v>
      </c>
      <c r="B6" s="4" t="n">
        <f aca="false">IFERROR(AVERAGEIFS(日別データ!$B$2:$B$185,日別データ!$A$2:$A$185,"&gt;="&amp;DATE(2026,11,1),日別データ!$A$2:$A$185,"&lt;="&amp;DATE(2026,11,30)),"")</f>
        <v>417.933333333333</v>
      </c>
      <c r="C6" s="3" t="n">
        <f aca="false">COUNTIFS(日別データ!$A$2:$A$185,"&gt;="&amp;DATE(2026,11,1),日別データ!$A$2:$A$185,"&lt;="&amp;DATE(2026,11,30))</f>
        <v>30</v>
      </c>
    </row>
    <row r="7" customFormat="false" ht="15" hidden="false" customHeight="false" outlineLevel="0" collapsed="false">
      <c r="A7" s="3" t="s">
        <v>10</v>
      </c>
      <c r="B7" s="4" t="n">
        <f aca="false">IFERROR(AVERAGEIFS(日別データ!$B$2:$B$185,日別データ!$A$2:$A$185,"&gt;="&amp;DATE(2026,12,1),日別データ!$A$2:$A$185,"&lt;="&amp;DATE(2026,12,31)),"")</f>
        <v>456.709677419355</v>
      </c>
      <c r="C7" s="3" t="n">
        <f aca="false">COUNTIFS(日別データ!$A$2:$A$185,"&gt;="&amp;DATE(2026,12,1),日別データ!$A$2:$A$185,"&lt;="&amp;DATE(2026,12,31))</f>
        <v>31</v>
      </c>
    </row>
    <row r="8" customFormat="false" ht="15" hidden="false" customHeight="false" outlineLevel="0" collapsed="false">
      <c r="A8" s="3" t="s">
        <v>11</v>
      </c>
      <c r="B8" s="4" t="n">
        <f aca="false">IFERROR(AVERAGEIFS(日別データ!$B$2:$B$185,日別データ!$A$2:$A$185,"&gt;="&amp;DATE(2027,1,1),日別データ!$A$2:$A$185,"&lt;="&amp;DATE(2027,1,31)),"")</f>
        <v>528.214285714286</v>
      </c>
      <c r="C8" s="3" t="n">
        <f aca="false">COUNTIFS(日別データ!$A$2:$A$185,"&gt;="&amp;DATE(2027,1,1),日別データ!$A$2:$A$185,"&lt;="&amp;DATE(2027,1,31))</f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</cols>
  <sheetData>
    <row r="1" customFormat="false" ht="15" hidden="false" customHeight="false" outlineLevel="0" collapsed="false">
      <c r="A1" s="5" t="s">
        <v>12</v>
      </c>
      <c r="B1" s="5" t="s">
        <v>13</v>
      </c>
    </row>
    <row r="2" customFormat="false" ht="15" hidden="false" customHeight="false" outlineLevel="0" collapsed="false">
      <c r="A2" s="6" t="s">
        <v>14</v>
      </c>
      <c r="B2" s="3" t="s">
        <v>15</v>
      </c>
    </row>
    <row r="3" customFormat="false" ht="15" hidden="false" customHeight="false" outlineLevel="0" collapsed="false">
      <c r="A3" s="6" t="s">
        <v>16</v>
      </c>
      <c r="B3" s="3" t="n">
        <f aca="false">日別データ!B2</f>
        <v>183</v>
      </c>
    </row>
    <row r="4" customFormat="false" ht="17.15" hidden="false" customHeight="false" outlineLevel="0" collapsed="false">
      <c r="A4" s="3" t="s">
        <v>17</v>
      </c>
      <c r="B4" s="3" t="n">
        <f aca="false">INDEX(日別データ!B:B,2+7)</f>
        <v>429</v>
      </c>
    </row>
    <row r="5" customFormat="false" ht="17.15" hidden="false" customHeight="false" outlineLevel="0" collapsed="false">
      <c r="A5" s="3" t="s">
        <v>18</v>
      </c>
      <c r="B5" s="3" t="n">
        <f aca="false">INDEX(日別データ!B:B,2+30)</f>
        <v>493</v>
      </c>
    </row>
    <row r="6" customFormat="false" ht="17.15" hidden="false" customHeight="false" outlineLevel="0" collapsed="false">
      <c r="A6" s="3" t="s">
        <v>19</v>
      </c>
      <c r="B6" s="3" t="n">
        <f aca="false">INDEX(日別データ!B:B,2+60)</f>
        <v>475</v>
      </c>
    </row>
    <row r="7" customFormat="false" ht="17.15" hidden="false" customHeight="false" outlineLevel="0" collapsed="false">
      <c r="A7" s="3" t="s">
        <v>20</v>
      </c>
      <c r="B7" s="3" t="n">
        <f aca="false">INDEX(日別データ!B:B,2+90)</f>
        <v>398</v>
      </c>
    </row>
    <row r="8" customFormat="false" ht="17.15" hidden="false" customHeight="false" outlineLevel="0" collapsed="false">
      <c r="A8" s="3" t="s">
        <v>21</v>
      </c>
      <c r="B8" s="3" t="n">
        <f aca="false">INDEX(日別データ!B:B,2+180)</f>
        <v>503</v>
      </c>
    </row>
    <row r="9" customFormat="false" ht="15" hidden="false" customHeight="false" outlineLevel="0" collapsed="false">
      <c r="A9" s="6" t="s">
        <v>22</v>
      </c>
      <c r="B9" s="3" t="n">
        <f aca="false">MIN(日別データ!B2:B185)</f>
        <v>183</v>
      </c>
    </row>
    <row r="10" customFormat="false" ht="15" hidden="false" customHeight="false" outlineLevel="0" collapsed="false">
      <c r="A10" s="6" t="s">
        <v>23</v>
      </c>
      <c r="B10" s="3" t="n">
        <f aca="false">MAX(日別データ!B2:B185)</f>
        <v>577</v>
      </c>
    </row>
    <row r="11" customFormat="false" ht="15" hidden="false" customHeight="false" outlineLevel="0" collapsed="false">
      <c r="A11" s="6" t="s">
        <v>24</v>
      </c>
      <c r="B11" s="3" t="n">
        <f aca="false">ROUND(AVERAGE(日別データ!B2:B185),1)</f>
        <v>436.7</v>
      </c>
    </row>
    <row r="12" customFormat="false" ht="15" hidden="false" customHeight="false" outlineLevel="0" collapsed="false">
      <c r="A12" s="6" t="s">
        <v>25</v>
      </c>
      <c r="B12" s="3" t="n">
        <f aca="false">MEDIAN(日別データ!B2:B185)</f>
        <v>442</v>
      </c>
    </row>
    <row r="13" customFormat="false" ht="17.15" hidden="false" customHeight="false" outlineLevel="0" collapsed="false">
      <c r="A13" s="6" t="s">
        <v>26</v>
      </c>
      <c r="B13" s="3" t="s">
        <v>27</v>
      </c>
    </row>
    <row r="14" customFormat="false" ht="17.15" hidden="false" customHeight="false" outlineLevel="0" collapsed="false">
      <c r="A14" s="6" t="s">
        <v>28</v>
      </c>
      <c r="B14" s="7" t="n">
        <v>0.667</v>
      </c>
    </row>
    <row r="15" customFormat="false" ht="17.15" hidden="false" customHeight="false" outlineLevel="0" collapsed="false">
      <c r="A15" s="6" t="s">
        <v>29</v>
      </c>
      <c r="B15" s="7" t="n">
        <v>0.6</v>
      </c>
    </row>
    <row r="16" customFormat="false" ht="17.15" hidden="false" customHeight="false" outlineLevel="0" collapsed="false">
      <c r="A16" s="6" t="s">
        <v>30</v>
      </c>
      <c r="B16" s="7" t="n">
        <v>0.633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2026-07-29T11:13:07Z</dcterms:created>
  <dc:creator>openpyxl</dc:creator>
  <dc:description/>
  <dc:language>en-US</dc:language>
  <cp:lastModifiedBy/>
  <dcterms:modified xsi:type="dcterms:W3CDTF">2026-07-29T20:13:10Z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