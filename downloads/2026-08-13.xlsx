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Data>
    <row r="1">
      <c r="A1" t="str">
        <v>Date</v>
      </c>
      <c r="B1" t="str">
        <v>Count</v>
      </c>
    </row>
    <row r="2">
      <c r="A2" t="str">
        <v>2026-08-13</v>
      </c>
      <c r="B2">
        <v>174</v>
      </c>
    </row>
    <row r="3">
      <c r="A3" t="str">
        <v>2026-08-14</v>
      </c>
      <c r="B3">
        <v>267</v>
      </c>
    </row>
    <row r="4">
      <c r="A4" t="str">
        <v>2026-08-15</v>
      </c>
      <c r="B4">
        <v>322</v>
      </c>
    </row>
    <row r="5">
      <c r="A5" t="str">
        <v>2026-08-16</v>
      </c>
      <c r="B5">
        <v>433</v>
      </c>
    </row>
    <row r="6">
      <c r="A6" t="str">
        <v>2026-08-17</v>
      </c>
      <c r="B6">
        <v>461</v>
      </c>
    </row>
    <row r="7">
      <c r="A7" t="str">
        <v>2026-08-18</v>
      </c>
      <c r="B7">
        <v>488</v>
      </c>
    </row>
    <row r="8">
      <c r="A8" t="str">
        <v>2026-08-19</v>
      </c>
      <c r="B8">
        <v>480</v>
      </c>
    </row>
    <row r="9">
      <c r="A9" t="str">
        <v>2026-08-20</v>
      </c>
      <c r="B9">
        <v>452</v>
      </c>
    </row>
    <row r="10">
      <c r="A10" t="str">
        <v>2026-08-21</v>
      </c>
      <c r="B10">
        <v>400</v>
      </c>
    </row>
    <row r="11">
      <c r="A11" t="str">
        <v>2026-08-22</v>
      </c>
      <c r="B11">
        <v>362</v>
      </c>
    </row>
    <row r="12">
      <c r="A12" t="str">
        <v>2026-08-23</v>
      </c>
      <c r="B12">
        <v>450</v>
      </c>
    </row>
    <row r="13">
      <c r="A13" t="str">
        <v>2026-08-24</v>
      </c>
      <c r="B13">
        <v>453</v>
      </c>
    </row>
    <row r="14">
      <c r="A14" t="str">
        <v>2026-08-25</v>
      </c>
      <c r="B14">
        <v>463</v>
      </c>
    </row>
    <row r="15">
      <c r="A15" t="str">
        <v>2026-08-26</v>
      </c>
      <c r="B15">
        <v>476</v>
      </c>
    </row>
    <row r="16">
      <c r="A16" t="str">
        <v>2026-08-27</v>
      </c>
      <c r="B16">
        <v>476</v>
      </c>
    </row>
    <row r="17">
      <c r="A17" t="str">
        <v>2026-08-28</v>
      </c>
      <c r="B17">
        <v>456</v>
      </c>
    </row>
    <row r="18">
      <c r="A18" t="str">
        <v>2026-08-29</v>
      </c>
      <c r="B18">
        <v>433</v>
      </c>
    </row>
    <row r="19">
      <c r="A19" t="str">
        <v>2026-08-30</v>
      </c>
      <c r="B19">
        <v>512</v>
      </c>
    </row>
    <row r="20">
      <c r="A20" t="str">
        <v>2026-08-31</v>
      </c>
      <c r="B20">
        <v>563</v>
      </c>
    </row>
    <row r="21">
      <c r="A21" t="str">
        <v>2026-09-01</v>
      </c>
      <c r="B21">
        <v>520</v>
      </c>
    </row>
    <row r="22">
      <c r="A22" t="str">
        <v>2026-09-02</v>
      </c>
      <c r="B22">
        <v>483</v>
      </c>
    </row>
    <row r="23">
      <c r="A23" t="str">
        <v>2026-09-03</v>
      </c>
      <c r="B23">
        <v>460</v>
      </c>
    </row>
    <row r="24">
      <c r="A24" t="str">
        <v>2026-09-04</v>
      </c>
      <c r="B24">
        <v>413</v>
      </c>
    </row>
    <row r="25">
      <c r="A25" t="str">
        <v>2026-09-05</v>
      </c>
      <c r="B25">
        <v>407</v>
      </c>
    </row>
    <row r="26">
      <c r="A26" t="str">
        <v>2026-09-06</v>
      </c>
      <c r="B26">
        <v>461</v>
      </c>
    </row>
    <row r="27">
      <c r="A27" t="str">
        <v>2026-09-07</v>
      </c>
      <c r="B27">
        <v>469</v>
      </c>
    </row>
    <row r="28">
      <c r="A28" t="str">
        <v>2026-09-08</v>
      </c>
      <c r="B28">
        <v>478</v>
      </c>
    </row>
    <row r="29">
      <c r="A29" t="str">
        <v>2026-09-09</v>
      </c>
      <c r="B29">
        <v>487</v>
      </c>
    </row>
    <row r="30">
      <c r="A30" t="str">
        <v>2026-09-10</v>
      </c>
      <c r="B30">
        <v>462</v>
      </c>
    </row>
    <row r="31">
      <c r="A31" t="str">
        <v>2026-09-11</v>
      </c>
      <c r="B31">
        <v>443</v>
      </c>
    </row>
    <row r="32">
      <c r="A32" t="str">
        <v>2026-09-12</v>
      </c>
      <c r="B32">
        <v>408</v>
      </c>
    </row>
    <row r="33">
      <c r="A33" t="str">
        <v>2026-09-13</v>
      </c>
      <c r="B33">
        <v>463</v>
      </c>
    </row>
    <row r="34">
      <c r="A34" t="str">
        <v>2026-09-14</v>
      </c>
      <c r="B34">
        <v>474</v>
      </c>
    </row>
    <row r="35">
      <c r="A35" t="str">
        <v>2026-09-15</v>
      </c>
      <c r="B35">
        <v>498</v>
      </c>
    </row>
    <row r="36">
      <c r="A36" t="str">
        <v>2026-09-16</v>
      </c>
      <c r="B36">
        <v>482</v>
      </c>
    </row>
    <row r="37">
      <c r="A37" t="str">
        <v>2026-09-17</v>
      </c>
      <c r="B37">
        <v>439</v>
      </c>
    </row>
    <row r="38">
      <c r="A38" t="str">
        <v>2026-09-18</v>
      </c>
      <c r="B38">
        <v>380</v>
      </c>
    </row>
    <row r="39">
      <c r="A39" t="str">
        <v>2026-09-19</v>
      </c>
      <c r="B39">
        <v>251</v>
      </c>
    </row>
    <row r="40">
      <c r="A40" t="str">
        <v>2026-09-20</v>
      </c>
      <c r="B40">
        <v>220</v>
      </c>
    </row>
    <row r="41">
      <c r="A41" t="str">
        <v>2026-09-21</v>
      </c>
      <c r="B41">
        <v>273</v>
      </c>
    </row>
    <row r="42">
      <c r="A42" t="str">
        <v>2026-09-22</v>
      </c>
      <c r="B42">
        <v>351</v>
      </c>
    </row>
    <row r="43">
      <c r="A43" t="str">
        <v>2026-09-23</v>
      </c>
      <c r="B43">
        <v>431</v>
      </c>
    </row>
    <row r="44">
      <c r="A44" t="str">
        <v>2026-09-24</v>
      </c>
      <c r="B44">
        <v>422</v>
      </c>
    </row>
    <row r="45">
      <c r="A45" t="str">
        <v>2026-09-25</v>
      </c>
      <c r="B45">
        <v>415</v>
      </c>
    </row>
    <row r="46">
      <c r="A46" t="str">
        <v>2026-09-26</v>
      </c>
      <c r="B46">
        <v>399</v>
      </c>
    </row>
    <row r="47">
      <c r="A47" t="str">
        <v>2026-09-27</v>
      </c>
      <c r="B47">
        <v>467</v>
      </c>
    </row>
    <row r="48">
      <c r="A48" t="str">
        <v>2026-09-28</v>
      </c>
      <c r="B48">
        <v>467</v>
      </c>
    </row>
    <row r="49">
      <c r="A49" t="str">
        <v>2026-09-29</v>
      </c>
      <c r="B49">
        <v>476</v>
      </c>
    </row>
    <row r="50">
      <c r="A50" t="str">
        <v>2026-09-30</v>
      </c>
      <c r="B50">
        <v>455</v>
      </c>
    </row>
    <row r="51">
      <c r="A51" t="str">
        <v>2026-10-01</v>
      </c>
      <c r="B51">
        <v>395</v>
      </c>
    </row>
    <row r="52">
      <c r="A52" t="str">
        <v>2026-10-02</v>
      </c>
      <c r="B52">
        <v>348</v>
      </c>
    </row>
    <row r="53">
      <c r="A53" t="str">
        <v>2026-10-03</v>
      </c>
      <c r="B53">
        <v>308</v>
      </c>
    </row>
    <row r="54">
      <c r="A54" t="str">
        <v>2026-10-04</v>
      </c>
      <c r="B54">
        <v>336</v>
      </c>
    </row>
    <row r="55">
      <c r="A55" t="str">
        <v>2026-10-05</v>
      </c>
      <c r="B55">
        <v>336</v>
      </c>
    </row>
    <row r="56">
      <c r="A56" t="str">
        <v>2026-10-06</v>
      </c>
      <c r="B56">
        <v>351</v>
      </c>
    </row>
    <row r="57">
      <c r="A57" t="str">
        <v>2026-10-07</v>
      </c>
      <c r="B57">
        <v>362</v>
      </c>
    </row>
    <row r="58">
      <c r="A58" t="str">
        <v>2026-10-08</v>
      </c>
      <c r="B58">
        <v>329</v>
      </c>
    </row>
    <row r="59">
      <c r="A59" t="str">
        <v>2026-10-09</v>
      </c>
      <c r="B59">
        <v>338</v>
      </c>
    </row>
    <row r="60">
      <c r="A60" t="str">
        <v>2026-10-10</v>
      </c>
      <c r="B60">
        <v>265</v>
      </c>
    </row>
    <row r="61">
      <c r="A61" t="str">
        <v>2026-10-11</v>
      </c>
      <c r="B61">
        <v>297</v>
      </c>
    </row>
    <row r="62">
      <c r="A62" t="str">
        <v>2026-10-12</v>
      </c>
      <c r="B62">
        <v>356</v>
      </c>
    </row>
    <row r="63">
      <c r="A63" t="str">
        <v>2026-10-13</v>
      </c>
      <c r="B63">
        <v>366</v>
      </c>
    </row>
    <row r="64">
      <c r="A64" t="str">
        <v>2026-10-14</v>
      </c>
      <c r="B64">
        <v>370</v>
      </c>
    </row>
    <row r="65">
      <c r="A65" t="str">
        <v>2026-10-15</v>
      </c>
      <c r="B65">
        <v>329</v>
      </c>
    </row>
    <row r="66">
      <c r="A66" t="str">
        <v>2026-10-16</v>
      </c>
      <c r="B66">
        <v>326</v>
      </c>
    </row>
    <row r="67">
      <c r="A67" t="str">
        <v>2026-10-17</v>
      </c>
      <c r="B67">
        <v>297</v>
      </c>
    </row>
    <row r="68">
      <c r="A68" t="str">
        <v>2026-10-18</v>
      </c>
      <c r="B68">
        <v>339</v>
      </c>
    </row>
    <row r="69">
      <c r="A69" t="str">
        <v>2026-10-19</v>
      </c>
      <c r="B69">
        <v>355</v>
      </c>
    </row>
    <row r="70">
      <c r="A70" t="str">
        <v>2026-10-20</v>
      </c>
      <c r="B70">
        <v>389</v>
      </c>
    </row>
    <row r="71">
      <c r="A71" t="str">
        <v>2026-10-21</v>
      </c>
      <c r="B71">
        <v>376</v>
      </c>
    </row>
    <row r="72">
      <c r="A72" t="str">
        <v>2026-10-22</v>
      </c>
      <c r="B72">
        <v>363</v>
      </c>
    </row>
    <row r="73">
      <c r="A73" t="str">
        <v>2026-10-23</v>
      </c>
      <c r="B73">
        <v>342</v>
      </c>
    </row>
    <row r="74">
      <c r="A74" t="str">
        <v>2026-10-24</v>
      </c>
      <c r="B74">
        <v>325</v>
      </c>
    </row>
    <row r="75">
      <c r="A75" t="str">
        <v>2026-10-25</v>
      </c>
      <c r="B75">
        <v>364</v>
      </c>
    </row>
    <row r="76">
      <c r="A76" t="str">
        <v>2026-10-26</v>
      </c>
      <c r="B76">
        <v>362</v>
      </c>
    </row>
    <row r="77">
      <c r="A77" t="str">
        <v>2026-10-27</v>
      </c>
      <c r="B77">
        <v>385</v>
      </c>
    </row>
    <row r="78">
      <c r="A78" t="str">
        <v>2026-10-28</v>
      </c>
      <c r="B78">
        <v>388</v>
      </c>
    </row>
    <row r="79">
      <c r="A79" t="str">
        <v>2026-10-29</v>
      </c>
      <c r="B79">
        <v>365</v>
      </c>
    </row>
    <row r="80">
      <c r="A80" t="str">
        <v>2026-10-30</v>
      </c>
      <c r="B80">
        <v>334</v>
      </c>
    </row>
    <row r="81">
      <c r="A81" t="str">
        <v>2026-10-31</v>
      </c>
      <c r="B81">
        <v>329</v>
      </c>
    </row>
    <row r="82">
      <c r="A82" t="str">
        <v>2026-11-01</v>
      </c>
      <c r="B82">
        <v>378</v>
      </c>
    </row>
    <row r="83">
      <c r="A83" t="str">
        <v>2026-11-02</v>
      </c>
      <c r="B83">
        <v>412</v>
      </c>
    </row>
    <row r="84">
      <c r="A84" t="str">
        <v>2026-11-03</v>
      </c>
      <c r="B84">
        <v>408</v>
      </c>
    </row>
    <row r="85">
      <c r="A85" t="str">
        <v>2026-11-04</v>
      </c>
      <c r="B85">
        <v>410</v>
      </c>
    </row>
    <row r="86">
      <c r="A86" t="str">
        <v>2026-11-05</v>
      </c>
      <c r="B86">
        <v>410</v>
      </c>
    </row>
    <row r="87">
      <c r="A87" t="str">
        <v>2026-11-06</v>
      </c>
      <c r="B87">
        <v>386</v>
      </c>
    </row>
    <row r="88">
      <c r="A88" t="str">
        <v>2026-11-07</v>
      </c>
      <c r="B88">
        <v>370</v>
      </c>
    </row>
    <row r="89">
      <c r="A89" t="str">
        <v>2026-11-08</v>
      </c>
      <c r="B89">
        <v>398</v>
      </c>
    </row>
    <row r="90">
      <c r="A90" t="str">
        <v>2026-11-09</v>
      </c>
      <c r="B90">
        <v>411</v>
      </c>
    </row>
    <row r="91">
      <c r="A91" t="str">
        <v>2026-11-10</v>
      </c>
      <c r="B91">
        <v>449</v>
      </c>
    </row>
    <row r="92">
      <c r="A92" t="str">
        <v>2026-11-11</v>
      </c>
      <c r="B92">
        <v>430</v>
      </c>
    </row>
    <row r="93">
      <c r="A93" t="str">
        <v>2026-11-12</v>
      </c>
      <c r="B93">
        <v>395</v>
      </c>
    </row>
    <row r="94">
      <c r="A94" t="str">
        <v>2026-11-13</v>
      </c>
      <c r="B94">
        <v>385</v>
      </c>
    </row>
    <row r="95">
      <c r="A95" t="str">
        <v>2026-11-14</v>
      </c>
      <c r="B95">
        <v>387</v>
      </c>
    </row>
    <row r="96">
      <c r="A96" t="str">
        <v>2026-11-15</v>
      </c>
      <c r="B96">
        <v>407</v>
      </c>
    </row>
    <row r="97">
      <c r="A97" t="str">
        <v>2026-11-16</v>
      </c>
      <c r="B97">
        <v>421</v>
      </c>
    </row>
    <row r="98">
      <c r="A98" t="str">
        <v>2026-11-17</v>
      </c>
      <c r="B98">
        <v>445</v>
      </c>
    </row>
    <row r="99">
      <c r="A99" t="str">
        <v>2026-11-18</v>
      </c>
      <c r="B99">
        <v>428</v>
      </c>
    </row>
    <row r="100">
      <c r="A100" t="str">
        <v>2026-11-19</v>
      </c>
      <c r="B100">
        <v>397</v>
      </c>
    </row>
    <row r="101">
      <c r="A101" t="str">
        <v>2026-11-20</v>
      </c>
      <c r="B101">
        <v>380</v>
      </c>
    </row>
    <row r="102">
      <c r="A102" t="str">
        <v>2026-11-21</v>
      </c>
      <c r="B102">
        <v>333</v>
      </c>
    </row>
    <row r="103">
      <c r="A103" t="str">
        <v>2026-11-22</v>
      </c>
      <c r="B103">
        <v>360</v>
      </c>
    </row>
    <row r="104">
      <c r="A104" t="str">
        <v>2026-11-23</v>
      </c>
      <c r="B104">
        <v>409</v>
      </c>
    </row>
    <row r="105">
      <c r="A105" t="str">
        <v>2026-11-24</v>
      </c>
      <c r="B105">
        <v>428</v>
      </c>
    </row>
    <row r="106">
      <c r="A106" t="str">
        <v>2026-11-25</v>
      </c>
      <c r="B106">
        <v>439</v>
      </c>
    </row>
    <row r="107">
      <c r="A107" t="str">
        <v>2026-11-26</v>
      </c>
      <c r="B107">
        <v>438</v>
      </c>
    </row>
    <row r="108">
      <c r="A108" t="str">
        <v>2026-11-27</v>
      </c>
      <c r="B108">
        <v>418</v>
      </c>
    </row>
    <row r="109">
      <c r="A109" t="str">
        <v>2026-11-28</v>
      </c>
      <c r="B109">
        <v>401</v>
      </c>
    </row>
    <row r="110">
      <c r="A110" t="str">
        <v>2026-11-29</v>
      </c>
      <c r="B110">
        <v>449</v>
      </c>
    </row>
    <row r="111">
      <c r="A111" t="str">
        <v>2026-11-30</v>
      </c>
      <c r="B111">
        <v>490</v>
      </c>
    </row>
    <row r="112">
      <c r="A112" t="str">
        <v>2026-12-01</v>
      </c>
      <c r="B112">
        <v>495</v>
      </c>
    </row>
    <row r="113">
      <c r="A113" t="str">
        <v>2026-12-02</v>
      </c>
      <c r="B113">
        <v>485</v>
      </c>
    </row>
    <row r="114">
      <c r="A114" t="str">
        <v>2026-12-03</v>
      </c>
      <c r="B114">
        <v>481</v>
      </c>
    </row>
    <row r="115">
      <c r="A115" t="str">
        <v>2026-12-04</v>
      </c>
      <c r="B115">
        <v>481</v>
      </c>
    </row>
    <row r="116">
      <c r="A116" t="str">
        <v>2026-12-05</v>
      </c>
      <c r="B116">
        <v>492</v>
      </c>
    </row>
    <row r="117">
      <c r="A117" t="str">
        <v>2026-12-06</v>
      </c>
      <c r="B117">
        <v>516</v>
      </c>
    </row>
    <row r="118">
      <c r="A118" t="str">
        <v>2026-12-07</v>
      </c>
      <c r="B118">
        <v>520</v>
      </c>
    </row>
    <row r="119">
      <c r="A119" t="str">
        <v>2026-12-08</v>
      </c>
      <c r="B119">
        <v>519</v>
      </c>
    </row>
    <row r="120">
      <c r="A120" t="str">
        <v>2026-12-09</v>
      </c>
      <c r="B120">
        <v>505</v>
      </c>
    </row>
    <row r="121">
      <c r="A121" t="str">
        <v>2026-12-10</v>
      </c>
      <c r="B121">
        <v>492</v>
      </c>
    </row>
    <row r="122">
      <c r="A122" t="str">
        <v>2026-12-11</v>
      </c>
      <c r="B122">
        <v>486</v>
      </c>
    </row>
    <row r="123">
      <c r="A123" t="str">
        <v>2026-12-12</v>
      </c>
      <c r="B123">
        <v>473</v>
      </c>
    </row>
    <row r="124">
      <c r="A124" t="str">
        <v>2026-12-13</v>
      </c>
      <c r="B124">
        <v>511</v>
      </c>
    </row>
    <row r="125">
      <c r="A125" t="str">
        <v>2026-12-14</v>
      </c>
      <c r="B125">
        <v>504</v>
      </c>
    </row>
    <row r="126">
      <c r="A126" t="str">
        <v>2026-12-15</v>
      </c>
      <c r="B126">
        <v>505</v>
      </c>
    </row>
    <row r="127">
      <c r="A127" t="str">
        <v>2026-12-16</v>
      </c>
      <c r="B127">
        <v>505</v>
      </c>
    </row>
    <row r="128">
      <c r="A128" t="str">
        <v>2026-12-17</v>
      </c>
      <c r="B128">
        <v>507</v>
      </c>
    </row>
    <row r="129">
      <c r="A129" t="str">
        <v>2026-12-18</v>
      </c>
      <c r="B129">
        <v>495</v>
      </c>
    </row>
    <row r="130">
      <c r="A130" t="str">
        <v>2026-12-19</v>
      </c>
      <c r="B130">
        <v>463</v>
      </c>
    </row>
    <row r="131">
      <c r="A131" t="str">
        <v>2026-12-20</v>
      </c>
      <c r="B131">
        <v>467</v>
      </c>
    </row>
    <row r="132">
      <c r="A132" t="str">
        <v>2026-12-21</v>
      </c>
      <c r="B132">
        <v>472</v>
      </c>
    </row>
    <row r="133">
      <c r="A133" t="str">
        <v>2026-12-22</v>
      </c>
      <c r="B133">
        <v>466</v>
      </c>
    </row>
    <row r="134">
      <c r="A134" t="str">
        <v>2026-12-23</v>
      </c>
      <c r="B134">
        <v>462</v>
      </c>
    </row>
    <row r="135">
      <c r="A135" t="str">
        <v>2026-12-24</v>
      </c>
      <c r="B135">
        <v>449</v>
      </c>
    </row>
    <row r="136">
      <c r="A136" t="str">
        <v>2026-12-25</v>
      </c>
      <c r="B136">
        <v>411</v>
      </c>
    </row>
    <row r="137">
      <c r="A137" t="str">
        <v>2026-12-26</v>
      </c>
      <c r="B137">
        <v>388</v>
      </c>
    </row>
    <row r="138">
      <c r="A138" t="str">
        <v>2026-12-27</v>
      </c>
      <c r="B138">
        <v>370</v>
      </c>
    </row>
    <row r="139">
      <c r="A139" t="str">
        <v>2026-12-28</v>
      </c>
      <c r="B139">
        <v>360</v>
      </c>
    </row>
    <row r="140">
      <c r="A140" t="str">
        <v>2026-12-29</v>
      </c>
      <c r="B140">
        <v>343</v>
      </c>
    </row>
    <row r="141">
      <c r="A141" t="str">
        <v>2026-12-30</v>
      </c>
      <c r="B141">
        <v>337</v>
      </c>
    </row>
    <row r="142">
      <c r="A142" t="str">
        <v>2026-12-31</v>
      </c>
      <c r="B142">
        <v>327</v>
      </c>
    </row>
    <row r="143">
      <c r="A143" t="str">
        <v>2027-01-01</v>
      </c>
      <c r="B143">
        <v>355</v>
      </c>
    </row>
    <row r="144">
      <c r="A144" t="str">
        <v>2027-01-02</v>
      </c>
      <c r="B144">
        <v>418</v>
      </c>
    </row>
    <row r="145">
      <c r="A145" t="str">
        <v>2027-01-03</v>
      </c>
      <c r="B145">
        <v>492</v>
      </c>
    </row>
    <row r="146">
      <c r="A146" t="str">
        <v>2027-01-04</v>
      </c>
      <c r="B146">
        <v>535</v>
      </c>
    </row>
    <row r="147">
      <c r="A147" t="str">
        <v>2027-01-05</v>
      </c>
      <c r="B147">
        <v>554</v>
      </c>
    </row>
    <row r="148">
      <c r="A148" t="str">
        <v>2027-01-06</v>
      </c>
      <c r="B148">
        <v>550</v>
      </c>
    </row>
    <row r="149">
      <c r="A149" t="str">
        <v>2027-01-07</v>
      </c>
      <c r="B149">
        <v>543</v>
      </c>
    </row>
    <row r="150">
      <c r="A150" t="str">
        <v>2027-01-08</v>
      </c>
      <c r="B150">
        <v>525</v>
      </c>
    </row>
    <row r="151">
      <c r="A151" t="str">
        <v>2027-01-09</v>
      </c>
      <c r="B151">
        <v>527</v>
      </c>
    </row>
    <row r="152">
      <c r="A152" t="str">
        <v>2027-01-10</v>
      </c>
      <c r="B152">
        <v>546</v>
      </c>
    </row>
    <row r="153">
      <c r="A153" t="str">
        <v>2027-01-11</v>
      </c>
      <c r="B153">
        <v>558</v>
      </c>
    </row>
    <row r="154">
      <c r="A154" t="str">
        <v>2027-01-12</v>
      </c>
      <c r="B154">
        <v>559</v>
      </c>
    </row>
    <row r="155">
      <c r="A155" t="str">
        <v>2027-01-13</v>
      </c>
      <c r="B155">
        <v>566</v>
      </c>
    </row>
    <row r="156">
      <c r="A156" t="str">
        <v>2027-01-14</v>
      </c>
      <c r="B156">
        <v>568</v>
      </c>
    </row>
    <row r="157">
      <c r="A157" t="str">
        <v>2027-01-15</v>
      </c>
      <c r="B157">
        <v>549</v>
      </c>
    </row>
    <row r="158">
      <c r="A158" t="str">
        <v>2027-01-16</v>
      </c>
      <c r="B158">
        <v>544</v>
      </c>
    </row>
    <row r="159">
      <c r="A159" t="str">
        <v>2027-01-17</v>
      </c>
      <c r="B159">
        <v>581</v>
      </c>
    </row>
    <row r="160">
      <c r="A160" t="str">
        <v>2027-01-18</v>
      </c>
      <c r="B160">
        <v>589</v>
      </c>
    </row>
    <row r="161">
      <c r="A161" t="str">
        <v>2027-01-19</v>
      </c>
      <c r="B161">
        <v>583</v>
      </c>
    </row>
    <row r="162">
      <c r="A162" t="str">
        <v>2027-01-20</v>
      </c>
      <c r="B162">
        <v>590</v>
      </c>
    </row>
    <row r="163">
      <c r="A163" t="str">
        <v>2027-01-21</v>
      </c>
      <c r="B163">
        <v>581</v>
      </c>
    </row>
    <row r="164">
      <c r="A164" t="str">
        <v>2027-01-22</v>
      </c>
      <c r="B164">
        <v>558</v>
      </c>
    </row>
    <row r="165">
      <c r="A165" t="str">
        <v>2027-01-23</v>
      </c>
      <c r="B165">
        <v>557</v>
      </c>
    </row>
    <row r="166">
      <c r="A166" t="str">
        <v>2027-01-24</v>
      </c>
      <c r="B166">
        <v>578</v>
      </c>
    </row>
    <row r="167">
      <c r="A167" t="str">
        <v>2027-01-25</v>
      </c>
      <c r="B167">
        <v>587</v>
      </c>
    </row>
    <row r="168">
      <c r="A168" t="str">
        <v>2027-01-26</v>
      </c>
      <c r="B168">
        <v>587</v>
      </c>
    </row>
    <row r="169">
      <c r="A169" t="str">
        <v>2027-01-27</v>
      </c>
      <c r="B169">
        <v>585</v>
      </c>
    </row>
    <row r="170">
      <c r="A170" t="str">
        <v>2027-01-28</v>
      </c>
      <c r="B170">
        <v>585</v>
      </c>
    </row>
    <row r="171">
      <c r="A171" t="str">
        <v>2027-01-29</v>
      </c>
      <c r="B171">
        <v>579</v>
      </c>
    </row>
    <row r="172">
      <c r="A172" t="str">
        <v>2027-01-30</v>
      </c>
      <c r="B172">
        <v>568</v>
      </c>
    </row>
    <row r="173">
      <c r="A173" t="str">
        <v>2027-01-31</v>
      </c>
      <c r="B173">
        <v>599</v>
      </c>
    </row>
    <row r="174">
      <c r="A174" t="str">
        <v>2027-02-01</v>
      </c>
      <c r="B174">
        <v>597</v>
      </c>
    </row>
    <row r="175">
      <c r="A175" t="str">
        <v>2027-02-02</v>
      </c>
      <c r="B175">
        <v>589</v>
      </c>
    </row>
    <row r="176">
      <c r="A176" t="str">
        <v>2027-02-03</v>
      </c>
      <c r="B176">
        <v>585</v>
      </c>
    </row>
    <row r="177">
      <c r="A177" t="str">
        <v>2027-02-04</v>
      </c>
      <c r="B177">
        <v>586</v>
      </c>
    </row>
    <row r="178">
      <c r="A178" t="str">
        <v>2027-02-05</v>
      </c>
      <c r="B178">
        <v>560</v>
      </c>
    </row>
    <row r="179">
      <c r="A179" t="str">
        <v>2027-02-06</v>
      </c>
      <c r="B179">
        <v>544</v>
      </c>
    </row>
    <row r="180">
      <c r="A180" t="str">
        <v>2027-02-07</v>
      </c>
      <c r="B180">
        <v>562</v>
      </c>
    </row>
    <row r="181">
      <c r="A181" t="str">
        <v>2027-02-08</v>
      </c>
      <c r="B181">
        <v>557</v>
      </c>
    </row>
    <row r="182">
      <c r="A182" t="str">
        <v>2027-02-09</v>
      </c>
      <c r="B182">
        <v>501</v>
      </c>
    </row>
    <row r="183">
      <c r="A183" t="str">
        <v>2027-02-10</v>
      </c>
      <c r="B183">
        <v>493</v>
      </c>
    </row>
    <row r="184">
      <c r="A184" t="str">
        <v>2027-02-11</v>
      </c>
      <c r="B184">
        <v>480</v>
      </c>
    </row>
    <row r="185">
      <c r="A185" t="str">
        <v>2027-02-12</v>
      </c>
      <c r="B185">
        <v>470</v>
      </c>
    </row>
  </sheetData>
  <ignoredErrors>
    <ignoredError numberStoredAsText="1" sqref="A1:B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Today (2026-08-13)</v>
      </c>
      <c r="B2">
        <f>Daily!B2</f>
      </c>
    </row>
    <row r="3">
      <c r="A3" t="str">
        <v>+7 days</v>
      </c>
      <c r="B3">
        <f>Daily!B9</f>
      </c>
    </row>
    <row r="4">
      <c r="A4" t="str">
        <v>+30 days</v>
      </c>
      <c r="B4">
        <f>Daily!B32</f>
      </c>
    </row>
    <row r="5">
      <c r="A5" t="str">
        <v>+60 days</v>
      </c>
      <c r="B5">
        <f>Daily!B62</f>
      </c>
    </row>
    <row r="6">
      <c r="A6" t="str">
        <v>+90 days</v>
      </c>
      <c r="B6">
        <f>Daily!B92</f>
      </c>
    </row>
    <row r="7">
      <c r="A7" t="str">
        <v>+180 days</v>
      </c>
      <c r="B7">
        <f>Daily!B182</f>
      </c>
    </row>
    <row r="8">
      <c r="A8" t="str">
        <v>Min</v>
      </c>
      <c r="B8">
        <f>MIN(Daily!B2:B185)</f>
      </c>
    </row>
    <row r="9">
      <c r="A9" t="str">
        <v>Max</v>
      </c>
      <c r="B9">
        <f>MAX(Daily!B2:B185)</f>
      </c>
    </row>
    <row r="10">
      <c r="A10" t="str">
        <v>Average</v>
      </c>
      <c r="B10">
        <f>ROUND(AVERAGE(Daily!B2:B185),0)</f>
      </c>
    </row>
    <row r="11">
      <c r="A11" t="str">
        <v>Median</v>
      </c>
      <c r="B11">
        <f>ROUND(MEDIAN(Daily!B2:B185),0)</f>
      </c>
    </row>
    <row r="13">
      <c r="A13" t="str">
        <v>Monthly Average</v>
      </c>
    </row>
    <row r="14">
      <c r="A14" t="str">
        <v>2026-08</v>
      </c>
      <c r="B14">
        <f>ROUND(AVERAGEIF(Daily!A2:A185,"2026-08*",Daily!B2:B185),0)</f>
      </c>
    </row>
    <row r="15">
      <c r="A15" t="str">
        <v>2026-09</v>
      </c>
      <c r="B15">
        <f>ROUND(AVERAGEIF(Daily!A2:A185,"2026-09*",Daily!B2:B185),0)</f>
      </c>
    </row>
    <row r="16">
      <c r="A16" t="str">
        <v>2026-10</v>
      </c>
      <c r="B16">
        <f>ROUND(AVERAGEIF(Daily!A2:A185,"2026-10*",Daily!B2:B185),0)</f>
      </c>
    </row>
    <row r="17">
      <c r="A17" t="str">
        <v>2026-11</v>
      </c>
      <c r="B17">
        <f>ROUND(AVERAGEIF(Daily!A2:A185,"2026-11*",Daily!B2:B185),0)</f>
      </c>
    </row>
    <row r="18">
      <c r="A18" t="str">
        <v>2026-12</v>
      </c>
      <c r="B18">
        <f>ROUND(AVERAGEIF(Daily!A2:A185,"2026-12*",Daily!B2:B185),0)</f>
      </c>
    </row>
    <row r="19">
      <c r="A19" t="str">
        <v>2027-01</v>
      </c>
      <c r="B19">
        <f>ROUND(AVERAGEIF(Daily!A2:A185,"2027-01*",Daily!B2:B185),0)</f>
      </c>
    </row>
    <row r="20">
      <c r="A20" t="str">
        <v>2027-02</v>
      </c>
      <c r="B20">
        <f>ROUND(AVERAGEIF(Daily!A2:A185,"2027-02*",Daily!B2:B185),0)</f>
      </c>
    </row>
    <row r="22">
      <c r="A22" t="str">
        <v>Source: Airbnb search (Hanedakuko, entire home, guest favorite, 5 adults, 1 night), fetched 2026-08-13. Note: chart omitted in web version.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