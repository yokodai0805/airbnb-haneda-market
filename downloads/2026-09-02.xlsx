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style2.xml" ContentType="application/vnd.ms-office.chartstyle+xml"/>
  <Override PartName="/xl/charts/chart2.xml" ContentType="application/vnd.openxmlformats-officedocument.drawingml.chart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日別データ" sheetId="1" state="visible" r:id="rId3"/>
    <sheet name="月別サマリ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<sst xmlns="http://schemas.openxmlformats.org/spreadsheetml/2006/main" count="581" uniqueCount="216">
  <si>
    <r>
      <rPr>
        <b val="true"/>
        <sz val="13"/>
        <rFont val="Arial"/>
        <family val="0"/>
        <charset val="1"/>
      </rPr>
      <t xml:space="preserve">Airbnb </t>
    </r>
    <r>
      <rPr>
        <b val="true"/>
        <sz val="13"/>
        <rFont val="Noto Sans CJK SC"/>
        <family val="2"/>
      </rPr>
      <t xml:space="preserve">競合市場在庫数（羽田空港・まるまる貸切</t>
    </r>
    <r>
      <rPr>
        <b val="true"/>
        <sz val="13"/>
        <rFont val="Arial"/>
        <family val="0"/>
        <charset val="1"/>
      </rPr>
      <t xml:space="preserve">×</t>
    </r>
    <r>
      <rPr>
        <b val="true"/>
        <sz val="13"/>
        <rFont val="Noto Sans CJK SC"/>
        <family val="2"/>
      </rPr>
      <t xml:space="preserve">ゲストチョイス・大人</t>
    </r>
    <r>
      <rPr>
        <b val="true"/>
        <sz val="13"/>
        <rFont val="Arial"/>
        <family val="0"/>
        <charset val="1"/>
      </rPr>
      <t xml:space="preserve">5</t>
    </r>
    <r>
      <rPr>
        <b val="true"/>
        <sz val="13"/>
        <rFont val="Noto Sans CJK SC"/>
        <family val="2"/>
      </rPr>
      <t xml:space="preserve">名・</t>
    </r>
    <r>
      <rPr>
        <b val="true"/>
        <sz val="13"/>
        <rFont val="Arial"/>
        <family val="0"/>
        <charset val="1"/>
      </rPr>
      <t xml:space="preserve">1</t>
    </r>
    <r>
      <rPr>
        <b val="true"/>
        <sz val="13"/>
        <rFont val="Noto Sans CJK SC"/>
        <family val="2"/>
      </rPr>
      <t xml:space="preserve">泊）</t>
    </r>
  </si>
  <si>
    <r>
      <rPr>
        <i val="true"/>
        <sz val="9"/>
        <color rgb="FF666666"/>
        <rFont val="Noto Sans CJK SC"/>
        <family val="2"/>
      </rPr>
      <t xml:space="preserve">取得日 </t>
    </r>
    <r>
      <rPr>
        <i val="true"/>
        <sz val="9"/>
        <color rgb="FF666666"/>
        <rFont val="Arial"/>
        <family val="0"/>
        <charset val="1"/>
      </rPr>
      <t xml:space="preserve">2026-09-02  </t>
    </r>
    <r>
      <rPr>
        <i val="true"/>
        <sz val="9"/>
        <color rgb="FF666666"/>
        <rFont val="Noto Sans CJK SC"/>
        <family val="2"/>
      </rPr>
      <t xml:space="preserve">／ 対象 </t>
    </r>
    <r>
      <rPr>
        <i val="true"/>
        <sz val="9"/>
        <color rgb="FF666666"/>
        <rFont val="Arial"/>
        <family val="0"/>
        <charset val="1"/>
      </rPr>
      <t xml:space="preserve">184</t>
    </r>
    <r>
      <rPr>
        <i val="true"/>
        <sz val="9"/>
        <color rgb="FF666666"/>
        <rFont val="Noto Sans CJK SC"/>
        <family val="2"/>
      </rPr>
      <t xml:space="preserve">日分 ／ 取得エラー </t>
    </r>
    <r>
      <rPr>
        <i val="true"/>
        <sz val="9"/>
        <color rgb="FF666666"/>
        <rFont val="Arial"/>
        <family val="0"/>
        <charset val="1"/>
      </rPr>
      <t xml:space="preserve">0</t>
    </r>
    <r>
      <rPr>
        <i val="true"/>
        <sz val="9"/>
        <color rgb="FF666666"/>
        <rFont val="Noto Sans CJK SC"/>
        <family val="2"/>
      </rPr>
      <t xml:space="preserve">件</t>
    </r>
  </si>
  <si>
    <r>
      <rPr>
        <i val="true"/>
        <sz val="9"/>
        <color rgb="FF666666"/>
        <rFont val="Noto Sans CJK SC"/>
        <family val="2"/>
      </rPr>
      <t xml:space="preserve">出典</t>
    </r>
    <r>
      <rPr>
        <i val="true"/>
        <sz val="9"/>
        <color rgb="FF666666"/>
        <rFont val="Arial"/>
        <family val="0"/>
        <charset val="1"/>
      </rPr>
      <t xml:space="preserve">: Airbnb</t>
    </r>
    <r>
      <rPr>
        <i val="true"/>
        <sz val="9"/>
        <color rgb="FF666666"/>
        <rFont val="Noto Sans CJK SC"/>
        <family val="2"/>
      </rPr>
      <t xml:space="preserve">検索結果ページ（</t>
    </r>
    <r>
      <rPr>
        <i val="true"/>
        <sz val="9"/>
        <color rgb="FF666666"/>
        <rFont val="Arial"/>
        <family val="0"/>
        <charset val="1"/>
      </rPr>
      <t xml:space="preserve">Hanedakuko--Japan, Entire home/apt, guest_favorite=true, adults=5, 1</t>
    </r>
    <r>
      <rPr>
        <i val="true"/>
        <sz val="9"/>
        <color rgb="FF666666"/>
        <rFont val="Noto Sans CJK SC"/>
        <family val="2"/>
      </rPr>
      <t xml:space="preserve">泊）を日次スクレイプ</t>
    </r>
  </si>
  <si>
    <t xml:space="preserve">日付</t>
  </si>
  <si>
    <t xml:space="preserve">曜日</t>
  </si>
  <si>
    <t xml:space="preserve">在庫件数</t>
  </si>
  <si>
    <r>
      <rPr>
        <b val="true"/>
        <sz val="11"/>
        <color rgb="FFFFFFFF"/>
        <rFont val="Arial"/>
        <family val="0"/>
        <charset val="1"/>
      </rPr>
      <t xml:space="preserve">7</t>
    </r>
    <r>
      <rPr>
        <b val="true"/>
        <sz val="11"/>
        <color rgb="FFFFFFFF"/>
        <rFont val="Noto Sans CJK SC"/>
        <family val="2"/>
      </rPr>
      <t xml:space="preserve">日移動平均</t>
    </r>
  </si>
  <si>
    <t xml:space="preserve">月</t>
  </si>
  <si>
    <r>
      <rPr>
        <b val="true"/>
        <sz val="11"/>
        <color rgb="FFFFFFFF"/>
        <rFont val="Noto Sans CJK SC"/>
        <family val="2"/>
      </rPr>
      <t xml:space="preserve">日付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表示用</t>
    </r>
    <r>
      <rPr>
        <b val="true"/>
        <sz val="11"/>
        <color rgb="FFFFFFFF"/>
        <rFont val="Arial"/>
        <family val="0"/>
        <charset val="1"/>
      </rPr>
      <t xml:space="preserve">)</t>
    </r>
  </si>
  <si>
    <t xml:space="preserve">水</t>
  </si>
  <si>
    <t xml:space="preserve">2026-09</t>
  </si>
  <si>
    <t xml:space="preserve">2026-09-02</t>
  </si>
  <si>
    <t xml:space="preserve">木</t>
  </si>
  <si>
    <t xml:space="preserve">2026-09-03</t>
  </si>
  <si>
    <t xml:space="preserve">金</t>
  </si>
  <si>
    <t xml:space="preserve">2026-09-04</t>
  </si>
  <si>
    <t xml:space="preserve">土</t>
  </si>
  <si>
    <t xml:space="preserve">2026-09-05</t>
  </si>
  <si>
    <t xml:space="preserve">日</t>
  </si>
  <si>
    <t xml:space="preserve">2026-09-06</t>
  </si>
  <si>
    <t xml:space="preserve">2026-09-07</t>
  </si>
  <si>
    <t xml:space="preserve">火</t>
  </si>
  <si>
    <t xml:space="preserve">2026-09-08</t>
  </si>
  <si>
    <t xml:space="preserve">2026-09-09</t>
  </si>
  <si>
    <t xml:space="preserve">2026-09-10</t>
  </si>
  <si>
    <t xml:space="preserve">2026-09-11</t>
  </si>
  <si>
    <t xml:space="preserve">2026-09-12</t>
  </si>
  <si>
    <t xml:space="preserve">2026-09-13</t>
  </si>
  <si>
    <t xml:space="preserve">2026-09-14</t>
  </si>
  <si>
    <t xml:space="preserve">2026-09-15</t>
  </si>
  <si>
    <t xml:space="preserve">2026-09-16</t>
  </si>
  <si>
    <t xml:space="preserve">2026-09-17</t>
  </si>
  <si>
    <t xml:space="preserve">2026-09-18</t>
  </si>
  <si>
    <t xml:space="preserve">2026-09-19</t>
  </si>
  <si>
    <t xml:space="preserve">2026-09-20</t>
  </si>
  <si>
    <t xml:space="preserve">2026-09-21</t>
  </si>
  <si>
    <t xml:space="preserve">2026-09-22</t>
  </si>
  <si>
    <t xml:space="preserve">2026-09-23</t>
  </si>
  <si>
    <t xml:space="preserve">2026-09-24</t>
  </si>
  <si>
    <t xml:space="preserve">2026-09-25</t>
  </si>
  <si>
    <t xml:space="preserve">2026-09-26</t>
  </si>
  <si>
    <t xml:space="preserve">2026-09-27</t>
  </si>
  <si>
    <t xml:space="preserve">2026-09-28</t>
  </si>
  <si>
    <t xml:space="preserve">2026-09-29</t>
  </si>
  <si>
    <t xml:space="preserve">2026-09-30</t>
  </si>
  <si>
    <t xml:space="preserve">2026-10</t>
  </si>
  <si>
    <t xml:space="preserve">2026-10-01</t>
  </si>
  <si>
    <t xml:space="preserve">2026-10-02</t>
  </si>
  <si>
    <t xml:space="preserve">2026-10-03</t>
  </si>
  <si>
    <t xml:space="preserve">2026-10-04</t>
  </si>
  <si>
    <t xml:space="preserve">2026-10-05</t>
  </si>
  <si>
    <t xml:space="preserve">2026-10-06</t>
  </si>
  <si>
    <t xml:space="preserve">2026-10-07</t>
  </si>
  <si>
    <t xml:space="preserve">2026-10-08</t>
  </si>
  <si>
    <t xml:space="preserve">2026-10-09</t>
  </si>
  <si>
    <t xml:space="preserve">2026-10-10</t>
  </si>
  <si>
    <t xml:space="preserve">2026-10-11</t>
  </si>
  <si>
    <t xml:space="preserve">2026-10-12</t>
  </si>
  <si>
    <t xml:space="preserve">2026-10-13</t>
  </si>
  <si>
    <t xml:space="preserve">2026-10-14</t>
  </si>
  <si>
    <t xml:space="preserve">2026-10-15</t>
  </si>
  <si>
    <t xml:space="preserve">2026-10-16</t>
  </si>
  <si>
    <t xml:space="preserve">2026-10-17</t>
  </si>
  <si>
    <t xml:space="preserve">2026-10-18</t>
  </si>
  <si>
    <t xml:space="preserve">2026-10-19</t>
  </si>
  <si>
    <t xml:space="preserve">2026-10-20</t>
  </si>
  <si>
    <t xml:space="preserve">2026-10-21</t>
  </si>
  <si>
    <t xml:space="preserve">2026-10-22</t>
  </si>
  <si>
    <t xml:space="preserve">2026-10-23</t>
  </si>
  <si>
    <t xml:space="preserve">2026-10-24</t>
  </si>
  <si>
    <t xml:space="preserve">2026-10-25</t>
  </si>
  <si>
    <t xml:space="preserve">2026-10-26</t>
  </si>
  <si>
    <t xml:space="preserve">2026-10-27</t>
  </si>
  <si>
    <t xml:space="preserve">2026-10-28</t>
  </si>
  <si>
    <t xml:space="preserve">2026-10-29</t>
  </si>
  <si>
    <t xml:space="preserve">2026-10-30</t>
  </si>
  <si>
    <t xml:space="preserve">2026-10-31</t>
  </si>
  <si>
    <t xml:space="preserve">2026-11</t>
  </si>
  <si>
    <t xml:space="preserve">2026-11-01</t>
  </si>
  <si>
    <t xml:space="preserve">2026-11-02</t>
  </si>
  <si>
    <t xml:space="preserve">2026-11-03</t>
  </si>
  <si>
    <t xml:space="preserve">2026-11-04</t>
  </si>
  <si>
    <t xml:space="preserve">2026-11-05</t>
  </si>
  <si>
    <t xml:space="preserve">2026-11-06</t>
  </si>
  <si>
    <t xml:space="preserve">2026-11-07</t>
  </si>
  <si>
    <t xml:space="preserve">2026-11-08</t>
  </si>
  <si>
    <t xml:space="preserve">2026-11-09</t>
  </si>
  <si>
    <t xml:space="preserve">2026-11-10</t>
  </si>
  <si>
    <t xml:space="preserve">2026-11-11</t>
  </si>
  <si>
    <t xml:space="preserve">2026-11-12</t>
  </si>
  <si>
    <t xml:space="preserve">2026-11-13</t>
  </si>
  <si>
    <t xml:space="preserve">2026-11-14</t>
  </si>
  <si>
    <t xml:space="preserve">2026-11-15</t>
  </si>
  <si>
    <t xml:space="preserve">2026-11-16</t>
  </si>
  <si>
    <t xml:space="preserve">2026-11-17</t>
  </si>
  <si>
    <t xml:space="preserve">2026-11-18</t>
  </si>
  <si>
    <t xml:space="preserve">2026-11-19</t>
  </si>
  <si>
    <t xml:space="preserve">2026-11-20</t>
  </si>
  <si>
    <t xml:space="preserve">2026-11-21</t>
  </si>
  <si>
    <t xml:space="preserve">2026-11-22</t>
  </si>
  <si>
    <t xml:space="preserve">2026-11-23</t>
  </si>
  <si>
    <t xml:space="preserve">2026-11-24</t>
  </si>
  <si>
    <t xml:space="preserve">2026-11-25</t>
  </si>
  <si>
    <t xml:space="preserve">2026-11-26</t>
  </si>
  <si>
    <t xml:space="preserve">2026-11-27</t>
  </si>
  <si>
    <t xml:space="preserve">2026-11-28</t>
  </si>
  <si>
    <t xml:space="preserve">2026-11-29</t>
  </si>
  <si>
    <t xml:space="preserve">2026-11-30</t>
  </si>
  <si>
    <t xml:space="preserve">2026-12</t>
  </si>
  <si>
    <t xml:space="preserve">2026-12-01</t>
  </si>
  <si>
    <t xml:space="preserve">2026-12-02</t>
  </si>
  <si>
    <t xml:space="preserve">2026-12-03</t>
  </si>
  <si>
    <t xml:space="preserve">2026-12-04</t>
  </si>
  <si>
    <t xml:space="preserve">2026-12-05</t>
  </si>
  <si>
    <t xml:space="preserve">2026-12-06</t>
  </si>
  <si>
    <t xml:space="preserve">2026-12-07</t>
  </si>
  <si>
    <t xml:space="preserve">2026-12-08</t>
  </si>
  <si>
    <t xml:space="preserve">2026-12-09</t>
  </si>
  <si>
    <t xml:space="preserve">2026-12-10</t>
  </si>
  <si>
    <t xml:space="preserve">2026-12-11</t>
  </si>
  <si>
    <t xml:space="preserve">2026-12-12</t>
  </si>
  <si>
    <t xml:space="preserve">2026-12-13</t>
  </si>
  <si>
    <t xml:space="preserve">2026-12-14</t>
  </si>
  <si>
    <t xml:space="preserve">2026-12-15</t>
  </si>
  <si>
    <t xml:space="preserve">2026-12-16</t>
  </si>
  <si>
    <t xml:space="preserve">2026-12-17</t>
  </si>
  <si>
    <t xml:space="preserve">2026-12-18</t>
  </si>
  <si>
    <t xml:space="preserve">2026-12-19</t>
  </si>
  <si>
    <t xml:space="preserve">2026-12-20</t>
  </si>
  <si>
    <t xml:space="preserve">2026-12-21</t>
  </si>
  <si>
    <t xml:space="preserve">2026-12-22</t>
  </si>
  <si>
    <t xml:space="preserve">2026-12-23</t>
  </si>
  <si>
    <t xml:space="preserve">2026-12-24</t>
  </si>
  <si>
    <t xml:space="preserve">2026-12-25</t>
  </si>
  <si>
    <t xml:space="preserve">2026-12-26</t>
  </si>
  <si>
    <t xml:space="preserve">2026-12-27</t>
  </si>
  <si>
    <t xml:space="preserve">2026-12-28</t>
  </si>
  <si>
    <t xml:space="preserve">2026-12-29</t>
  </si>
  <si>
    <t xml:space="preserve">2026-12-30</t>
  </si>
  <si>
    <t xml:space="preserve">2026-12-31</t>
  </si>
  <si>
    <t xml:space="preserve">2027-01</t>
  </si>
  <si>
    <t xml:space="preserve">2027-01-01</t>
  </si>
  <si>
    <t xml:space="preserve">2027-01-02</t>
  </si>
  <si>
    <t xml:space="preserve">2027-01-03</t>
  </si>
  <si>
    <t xml:space="preserve">2027-01-04</t>
  </si>
  <si>
    <t xml:space="preserve">2027-01-05</t>
  </si>
  <si>
    <t xml:space="preserve">2027-01-06</t>
  </si>
  <si>
    <t xml:space="preserve">2027-01-07</t>
  </si>
  <si>
    <t xml:space="preserve">2027-01-08</t>
  </si>
  <si>
    <t xml:space="preserve">2027-01-09</t>
  </si>
  <si>
    <t xml:space="preserve">2027-01-10</t>
  </si>
  <si>
    <t xml:space="preserve">2027-01-11</t>
  </si>
  <si>
    <t xml:space="preserve">2027-01-12</t>
  </si>
  <si>
    <t xml:space="preserve">2027-01-13</t>
  </si>
  <si>
    <t xml:space="preserve">2027-01-14</t>
  </si>
  <si>
    <t xml:space="preserve">2027-01-15</t>
  </si>
  <si>
    <t xml:space="preserve">2027-01-16</t>
  </si>
  <si>
    <t xml:space="preserve">2027-01-17</t>
  </si>
  <si>
    <t xml:space="preserve">2027-01-18</t>
  </si>
  <si>
    <t xml:space="preserve">2027-01-19</t>
  </si>
  <si>
    <t xml:space="preserve">2027-01-20</t>
  </si>
  <si>
    <t xml:space="preserve">2027-01-21</t>
  </si>
  <si>
    <t xml:space="preserve">2027-01-22</t>
  </si>
  <si>
    <t xml:space="preserve">2027-01-23</t>
  </si>
  <si>
    <t xml:space="preserve">2027-01-24</t>
  </si>
  <si>
    <t xml:space="preserve">2027-01-25</t>
  </si>
  <si>
    <t xml:space="preserve">2027-01-26</t>
  </si>
  <si>
    <t xml:space="preserve">2027-01-27</t>
  </si>
  <si>
    <t xml:space="preserve">2027-01-28</t>
  </si>
  <si>
    <t xml:space="preserve">2027-01-29</t>
  </si>
  <si>
    <t xml:space="preserve">2027-01-30</t>
  </si>
  <si>
    <t xml:space="preserve">2027-01-31</t>
  </si>
  <si>
    <t xml:space="preserve">2027-02</t>
  </si>
  <si>
    <t xml:space="preserve">2027-02-01</t>
  </si>
  <si>
    <t xml:space="preserve">2027-02-02</t>
  </si>
  <si>
    <t xml:space="preserve">2027-02-03</t>
  </si>
  <si>
    <t xml:space="preserve">2027-02-04</t>
  </si>
  <si>
    <t xml:space="preserve">2027-02-05</t>
  </si>
  <si>
    <t xml:space="preserve">2027-02-06</t>
  </si>
  <si>
    <t xml:space="preserve">2027-02-07</t>
  </si>
  <si>
    <t xml:space="preserve">2027-02-08</t>
  </si>
  <si>
    <t xml:space="preserve">2027-02-09</t>
  </si>
  <si>
    <t xml:space="preserve">2027-02-10</t>
  </si>
  <si>
    <t xml:space="preserve">2027-02-11</t>
  </si>
  <si>
    <t xml:space="preserve">2027-02-12</t>
  </si>
  <si>
    <t xml:space="preserve">2027-02-13</t>
  </si>
  <si>
    <t xml:space="preserve">2027-02-14</t>
  </si>
  <si>
    <t xml:space="preserve">2027-02-15</t>
  </si>
  <si>
    <t xml:space="preserve">2027-02-16</t>
  </si>
  <si>
    <t xml:space="preserve">2027-02-17</t>
  </si>
  <si>
    <t xml:space="preserve">2027-02-18</t>
  </si>
  <si>
    <t xml:space="preserve">2027-02-19</t>
  </si>
  <si>
    <t xml:space="preserve">2027-02-20</t>
  </si>
  <si>
    <t xml:space="preserve">2027-02-21</t>
  </si>
  <si>
    <t xml:space="preserve">2027-02-22</t>
  </si>
  <si>
    <t xml:space="preserve">2027-02-23</t>
  </si>
  <si>
    <t xml:space="preserve">2027-02-24</t>
  </si>
  <si>
    <t xml:space="preserve">2027-02-25</t>
  </si>
  <si>
    <t xml:space="preserve">2027-02-26</t>
  </si>
  <si>
    <t xml:space="preserve">2027-02-27</t>
  </si>
  <si>
    <t xml:space="preserve">2027-02-28</t>
  </si>
  <si>
    <t xml:space="preserve">2027-03</t>
  </si>
  <si>
    <t xml:space="preserve">2027-03-01</t>
  </si>
  <si>
    <t xml:space="preserve">2027-03-02</t>
  </si>
  <si>
    <t xml:space="preserve">2027-03-03</t>
  </si>
  <si>
    <t xml:space="preserve">2027-03-04</t>
  </si>
  <si>
    <t xml:space="preserve">サマリー</t>
  </si>
  <si>
    <t xml:space="preserve">当日件数</t>
  </si>
  <si>
    <t xml:space="preserve">最小</t>
  </si>
  <si>
    <t xml:space="preserve">最大</t>
  </si>
  <si>
    <t xml:space="preserve">平均</t>
  </si>
  <si>
    <t xml:space="preserve">中央値</t>
  </si>
  <si>
    <r>
      <rPr>
        <i val="true"/>
        <sz val="9"/>
        <color rgb="FF666666"/>
        <rFont val="Noto Sans CJK SC"/>
        <family val="2"/>
      </rPr>
      <t xml:space="preserve">※前日</t>
    </r>
    <r>
      <rPr>
        <i val="true"/>
        <sz val="9"/>
        <color rgb="FF666666"/>
        <rFont val="Arial"/>
        <family val="0"/>
        <charset val="1"/>
      </rPr>
      <t xml:space="preserve">(2026-09-01)</t>
    </r>
    <r>
      <rPr>
        <i val="true"/>
        <sz val="9"/>
        <color rgb="FF666666"/>
        <rFont val="Noto Sans CJK SC"/>
        <family val="2"/>
      </rPr>
      <t xml:space="preserve">当日値</t>
    </r>
    <r>
      <rPr>
        <i val="true"/>
        <sz val="9"/>
        <color rgb="FF666666"/>
        <rFont val="Arial"/>
        <family val="0"/>
        <charset val="1"/>
      </rPr>
      <t xml:space="preserve">=361</t>
    </r>
    <r>
      <rPr>
        <i val="true"/>
        <sz val="9"/>
        <color rgb="FF666666"/>
        <rFont val="Noto Sans CJK SC"/>
        <family val="2"/>
      </rPr>
      <t xml:space="preserve">件。差分 </t>
    </r>
    <r>
      <rPr>
        <i val="true"/>
        <sz val="9"/>
        <color rgb="FF666666"/>
        <rFont val="Arial"/>
        <family val="0"/>
        <charset val="1"/>
      </rPr>
      <t xml:space="preserve">-31</t>
    </r>
    <r>
      <rPr>
        <i val="true"/>
        <sz val="9"/>
        <color rgb="FF666666"/>
        <rFont val="Noto Sans CJK SC"/>
        <family val="2"/>
      </rPr>
      <t xml:space="preserve">件。前日値は</t>
    </r>
    <r>
      <rPr>
        <i val="true"/>
        <sz val="9"/>
        <color rgb="FF666666"/>
        <rFont val="Arial"/>
        <family val="0"/>
        <charset val="1"/>
      </rPr>
      <t xml:space="preserve">Notion</t>
    </r>
    <r>
      <rPr>
        <i val="true"/>
        <sz val="9"/>
        <color rgb="FF666666"/>
        <rFont val="Noto Sans CJK SC"/>
        <family val="2"/>
      </rPr>
      <t xml:space="preserve">日次レポートより。</t>
    </r>
  </si>
  <si>
    <t xml:space="preserve">平均件数</t>
  </si>
  <si>
    <t xml:space="preserve">日数</t>
  </si>
  <si>
    <r>
      <rPr>
        <i val="true"/>
        <sz val="9"/>
        <color rgb="FF666666"/>
        <rFont val="Arial"/>
        <family val="0"/>
        <charset val="1"/>
      </rPr>
      <t xml:space="preserve">※2026-09</t>
    </r>
    <r>
      <rPr>
        <i val="true"/>
        <sz val="9"/>
        <color rgb="FF666666"/>
        <rFont val="Noto Sans CJK SC"/>
        <family val="2"/>
      </rPr>
      <t xml:space="preserve">と</t>
    </r>
    <r>
      <rPr>
        <i val="true"/>
        <sz val="9"/>
        <color rgb="FF666666"/>
        <rFont val="Arial"/>
        <family val="0"/>
        <charset val="1"/>
      </rPr>
      <t xml:space="preserve">2027-03</t>
    </r>
    <r>
      <rPr>
        <i val="true"/>
        <sz val="9"/>
        <color rgb="FF666666"/>
        <rFont val="Noto Sans CJK SC"/>
        <family val="2"/>
      </rPr>
      <t xml:space="preserve">は月途中のため日数が少ない（部分月）</t>
    </r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</si>
</sst>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yyyy\-mm\-dd"/>
    <numFmt numFmtId="166" formatCode="#,##0"/>
    <numFmt numFmtId="167" formatCode="#,##0.0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b val="true"/>
      <sz val="13"/>
      <name val="Noto Sans CJK SC"/>
      <family val="2"/>
    </font>
    <font>
      <i val="true"/>
      <sz val="9"/>
      <color rgb="FF666666"/>
      <name val="Noto Sans CJK SC"/>
      <family val="2"/>
    </font>
    <font>
      <i val="true"/>
      <sz val="9"/>
      <color rgb="FF666666"/>
      <name val="Arial"/>
      <family val="0"/>
      <charset val="1"/>
    </font>
    <font>
      <b val="true"/>
      <sz val="11"/>
      <color rgb="FFFFFFFF"/>
      <name val="Noto Sans CJK SC"/>
      <family val="2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sz val="10"/>
      <name val="Noto Sans CJK SC"/>
      <family val="2"/>
    </font>
    <font>
      <b val="true"/>
      <sz val="11"/>
      <name val="Noto Sans CJK SC"/>
      <family val="2"/>
    </font>
    <font>
      <b val="true"/>
      <sz val="18"/>
      <color rgb="FF000000"/>
      <name val="Noto Sans CJK SC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Noto Sans CJK SC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A7EBB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在庫件数の推移（今日〜+183日）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日別データ!C5</c:f>
              <c:strCache>
                <c:ptCount val="1"/>
                <c:pt idx="0">
                  <c:v>在庫件数</c:v>
                </c:pt>
              </c:strCache>
            </c:strRef>
          </c:tx>
          <c:spPr>
            <a:solidFill>
              <a:srgbClr val="4A7EBB"/>
            </a:solidFill>
            <a:ln w="1260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日別データ!$F$6:$F$189</c:f>
              <c:strCache>
                <c:ptCount val="184"/>
                <c:pt idx="0">
                  <c:v>2026-09-02</c:v>
                </c:pt>
                <c:pt idx="1">
                  <c:v>2026-09-03</c:v>
                </c:pt>
                <c:pt idx="2">
                  <c:v>2026-09-04</c:v>
                </c:pt>
                <c:pt idx="3">
                  <c:v>2026-09-05</c:v>
                </c:pt>
                <c:pt idx="4">
                  <c:v>2026-09-06</c:v>
                </c:pt>
                <c:pt idx="5">
                  <c:v>2026-09-07</c:v>
                </c:pt>
                <c:pt idx="6">
                  <c:v>2026-09-08</c:v>
                </c:pt>
                <c:pt idx="7">
                  <c:v>2026-09-09</c:v>
                </c:pt>
                <c:pt idx="8">
                  <c:v>2026-09-10</c:v>
                </c:pt>
                <c:pt idx="9">
                  <c:v>2026-09-11</c:v>
                </c:pt>
                <c:pt idx="10">
                  <c:v>2026-09-12</c:v>
                </c:pt>
                <c:pt idx="11">
                  <c:v>2026-09-13</c:v>
                </c:pt>
                <c:pt idx="12">
                  <c:v>2026-09-14</c:v>
                </c:pt>
                <c:pt idx="13">
                  <c:v>2026-09-15</c:v>
                </c:pt>
                <c:pt idx="14">
                  <c:v>2026-09-16</c:v>
                </c:pt>
                <c:pt idx="15">
                  <c:v>2026-09-17</c:v>
                </c:pt>
                <c:pt idx="16">
                  <c:v>2026-09-18</c:v>
                </c:pt>
                <c:pt idx="17">
                  <c:v>2026-09-19</c:v>
                </c:pt>
                <c:pt idx="18">
                  <c:v>2026-09-20</c:v>
                </c:pt>
                <c:pt idx="19">
                  <c:v>2026-09-21</c:v>
                </c:pt>
                <c:pt idx="20">
                  <c:v>2026-09-22</c:v>
                </c:pt>
                <c:pt idx="21">
                  <c:v>2026-09-23</c:v>
                </c:pt>
                <c:pt idx="22">
                  <c:v>2026-09-24</c:v>
                </c:pt>
                <c:pt idx="23">
                  <c:v>2026-09-25</c:v>
                </c:pt>
                <c:pt idx="24">
                  <c:v>2026-09-26</c:v>
                </c:pt>
                <c:pt idx="25">
                  <c:v>2026-09-27</c:v>
                </c:pt>
                <c:pt idx="26">
                  <c:v>2026-09-28</c:v>
                </c:pt>
                <c:pt idx="27">
                  <c:v>2026-09-29</c:v>
                </c:pt>
                <c:pt idx="28">
                  <c:v>2026-09-30</c:v>
                </c:pt>
                <c:pt idx="29">
                  <c:v>2026-10-01</c:v>
                </c:pt>
                <c:pt idx="30">
                  <c:v>2026-10-02</c:v>
                </c:pt>
                <c:pt idx="31">
                  <c:v>2026-10-03</c:v>
                </c:pt>
                <c:pt idx="32">
                  <c:v>2026-10-04</c:v>
                </c:pt>
                <c:pt idx="33">
                  <c:v>2026-10-05</c:v>
                </c:pt>
                <c:pt idx="34">
                  <c:v>2026-10-06</c:v>
                </c:pt>
                <c:pt idx="35">
                  <c:v>2026-10-07</c:v>
                </c:pt>
                <c:pt idx="36">
                  <c:v>2026-10-08</c:v>
                </c:pt>
                <c:pt idx="37">
                  <c:v>2026-10-09</c:v>
                </c:pt>
                <c:pt idx="38">
                  <c:v>2026-10-10</c:v>
                </c:pt>
                <c:pt idx="39">
                  <c:v>2026-10-11</c:v>
                </c:pt>
                <c:pt idx="40">
                  <c:v>2026-10-12</c:v>
                </c:pt>
                <c:pt idx="41">
                  <c:v>2026-10-13</c:v>
                </c:pt>
                <c:pt idx="42">
                  <c:v>2026-10-14</c:v>
                </c:pt>
                <c:pt idx="43">
                  <c:v>2026-10-15</c:v>
                </c:pt>
                <c:pt idx="44">
                  <c:v>2026-10-16</c:v>
                </c:pt>
                <c:pt idx="45">
                  <c:v>2026-10-17</c:v>
                </c:pt>
                <c:pt idx="46">
                  <c:v>2026-10-18</c:v>
                </c:pt>
                <c:pt idx="47">
                  <c:v>2026-10-19</c:v>
                </c:pt>
                <c:pt idx="48">
                  <c:v>2026-10-20</c:v>
                </c:pt>
                <c:pt idx="49">
                  <c:v>2026-10-21</c:v>
                </c:pt>
                <c:pt idx="50">
                  <c:v>2026-10-22</c:v>
                </c:pt>
                <c:pt idx="51">
                  <c:v>2026-10-23</c:v>
                </c:pt>
                <c:pt idx="52">
                  <c:v>2026-10-24</c:v>
                </c:pt>
                <c:pt idx="53">
                  <c:v>2026-10-25</c:v>
                </c:pt>
                <c:pt idx="54">
                  <c:v>2026-10-26</c:v>
                </c:pt>
                <c:pt idx="55">
                  <c:v>2026-10-27</c:v>
                </c:pt>
                <c:pt idx="56">
                  <c:v>2026-10-28</c:v>
                </c:pt>
                <c:pt idx="57">
                  <c:v>2026-10-29</c:v>
                </c:pt>
                <c:pt idx="58">
                  <c:v>2026-10-30</c:v>
                </c:pt>
                <c:pt idx="59">
                  <c:v>2026-10-31</c:v>
                </c:pt>
                <c:pt idx="60">
                  <c:v>2026-11-01</c:v>
                </c:pt>
                <c:pt idx="61">
                  <c:v>2026-11-02</c:v>
                </c:pt>
                <c:pt idx="62">
                  <c:v>2026-11-03</c:v>
                </c:pt>
                <c:pt idx="63">
                  <c:v>2026-11-04</c:v>
                </c:pt>
                <c:pt idx="64">
                  <c:v>2026-11-05</c:v>
                </c:pt>
                <c:pt idx="65">
                  <c:v>2026-11-06</c:v>
                </c:pt>
                <c:pt idx="66">
                  <c:v>2026-11-07</c:v>
                </c:pt>
                <c:pt idx="67">
                  <c:v>2026-11-08</c:v>
                </c:pt>
                <c:pt idx="68">
                  <c:v>2026-11-09</c:v>
                </c:pt>
                <c:pt idx="69">
                  <c:v>2026-11-10</c:v>
                </c:pt>
                <c:pt idx="70">
                  <c:v>2026-11-11</c:v>
                </c:pt>
                <c:pt idx="71">
                  <c:v>2026-11-12</c:v>
                </c:pt>
                <c:pt idx="72">
                  <c:v>2026-11-13</c:v>
                </c:pt>
                <c:pt idx="73">
                  <c:v>2026-11-14</c:v>
                </c:pt>
                <c:pt idx="74">
                  <c:v>2026-11-15</c:v>
                </c:pt>
                <c:pt idx="75">
                  <c:v>2026-11-16</c:v>
                </c:pt>
                <c:pt idx="76">
                  <c:v>2026-11-17</c:v>
                </c:pt>
                <c:pt idx="77">
                  <c:v>2026-11-18</c:v>
                </c:pt>
                <c:pt idx="78">
                  <c:v>2026-11-19</c:v>
                </c:pt>
                <c:pt idx="79">
                  <c:v>2026-11-20</c:v>
                </c:pt>
                <c:pt idx="80">
                  <c:v>2026-11-21</c:v>
                </c:pt>
                <c:pt idx="81">
                  <c:v>2026-11-22</c:v>
                </c:pt>
                <c:pt idx="82">
                  <c:v>2026-11-23</c:v>
                </c:pt>
                <c:pt idx="83">
                  <c:v>2026-11-24</c:v>
                </c:pt>
                <c:pt idx="84">
                  <c:v>2026-11-25</c:v>
                </c:pt>
                <c:pt idx="85">
                  <c:v>2026-11-26</c:v>
                </c:pt>
                <c:pt idx="86">
                  <c:v>2026-11-27</c:v>
                </c:pt>
                <c:pt idx="87">
                  <c:v>2026-11-28</c:v>
                </c:pt>
                <c:pt idx="88">
                  <c:v>2026-11-29</c:v>
                </c:pt>
                <c:pt idx="89">
                  <c:v>2026-11-30</c:v>
                </c:pt>
                <c:pt idx="90">
                  <c:v>2026-12-01</c:v>
                </c:pt>
                <c:pt idx="91">
                  <c:v>2026-12-02</c:v>
                </c:pt>
                <c:pt idx="92">
                  <c:v>2026-12-03</c:v>
                </c:pt>
                <c:pt idx="93">
                  <c:v>2026-12-04</c:v>
                </c:pt>
                <c:pt idx="94">
                  <c:v>2026-12-05</c:v>
                </c:pt>
                <c:pt idx="95">
                  <c:v>2026-12-06</c:v>
                </c:pt>
                <c:pt idx="96">
                  <c:v>2026-12-07</c:v>
                </c:pt>
                <c:pt idx="97">
                  <c:v>2026-12-08</c:v>
                </c:pt>
                <c:pt idx="98">
                  <c:v>2026-12-09</c:v>
                </c:pt>
                <c:pt idx="99">
                  <c:v>2026-12-10</c:v>
                </c:pt>
                <c:pt idx="100">
                  <c:v>2026-12-11</c:v>
                </c:pt>
                <c:pt idx="101">
                  <c:v>2026-12-12</c:v>
                </c:pt>
                <c:pt idx="102">
                  <c:v>2026-12-13</c:v>
                </c:pt>
                <c:pt idx="103">
                  <c:v>2026-12-14</c:v>
                </c:pt>
                <c:pt idx="104">
                  <c:v>2026-12-15</c:v>
                </c:pt>
                <c:pt idx="105">
                  <c:v>2026-12-16</c:v>
                </c:pt>
                <c:pt idx="106">
                  <c:v>2026-12-17</c:v>
                </c:pt>
                <c:pt idx="107">
                  <c:v>2026-12-18</c:v>
                </c:pt>
                <c:pt idx="108">
                  <c:v>2026-12-19</c:v>
                </c:pt>
                <c:pt idx="109">
                  <c:v>2026-12-20</c:v>
                </c:pt>
                <c:pt idx="110">
                  <c:v>2026-12-21</c:v>
                </c:pt>
                <c:pt idx="111">
                  <c:v>2026-12-22</c:v>
                </c:pt>
                <c:pt idx="112">
                  <c:v>2026-12-23</c:v>
                </c:pt>
                <c:pt idx="113">
                  <c:v>2026-12-24</c:v>
                </c:pt>
                <c:pt idx="114">
                  <c:v>2026-12-25</c:v>
                </c:pt>
                <c:pt idx="115">
                  <c:v>2026-12-26</c:v>
                </c:pt>
                <c:pt idx="116">
                  <c:v>2026-12-27</c:v>
                </c:pt>
                <c:pt idx="117">
                  <c:v>2026-12-28</c:v>
                </c:pt>
                <c:pt idx="118">
                  <c:v>2026-12-29</c:v>
                </c:pt>
                <c:pt idx="119">
                  <c:v>2026-12-30</c:v>
                </c:pt>
                <c:pt idx="120">
                  <c:v>2026-12-31</c:v>
                </c:pt>
                <c:pt idx="121">
                  <c:v>2027-01-01</c:v>
                </c:pt>
                <c:pt idx="122">
                  <c:v>2027-01-02</c:v>
                </c:pt>
                <c:pt idx="123">
                  <c:v>2027-01-03</c:v>
                </c:pt>
                <c:pt idx="124">
                  <c:v>2027-01-04</c:v>
                </c:pt>
                <c:pt idx="125">
                  <c:v>2027-01-05</c:v>
                </c:pt>
                <c:pt idx="126">
                  <c:v>2027-01-06</c:v>
                </c:pt>
                <c:pt idx="127">
                  <c:v>2027-01-07</c:v>
                </c:pt>
                <c:pt idx="128">
                  <c:v>2027-01-08</c:v>
                </c:pt>
                <c:pt idx="129">
                  <c:v>2027-01-09</c:v>
                </c:pt>
                <c:pt idx="130">
                  <c:v>2027-01-10</c:v>
                </c:pt>
                <c:pt idx="131">
                  <c:v>2027-01-11</c:v>
                </c:pt>
                <c:pt idx="132">
                  <c:v>2027-01-12</c:v>
                </c:pt>
                <c:pt idx="133">
                  <c:v>2027-01-13</c:v>
                </c:pt>
                <c:pt idx="134">
                  <c:v>2027-01-14</c:v>
                </c:pt>
                <c:pt idx="135">
                  <c:v>2027-01-15</c:v>
                </c:pt>
                <c:pt idx="136">
                  <c:v>2027-01-16</c:v>
                </c:pt>
                <c:pt idx="137">
                  <c:v>2027-01-17</c:v>
                </c:pt>
                <c:pt idx="138">
                  <c:v>2027-01-18</c:v>
                </c:pt>
                <c:pt idx="139">
                  <c:v>2027-01-19</c:v>
                </c:pt>
                <c:pt idx="140">
                  <c:v>2027-01-20</c:v>
                </c:pt>
                <c:pt idx="141">
                  <c:v>2027-01-21</c:v>
                </c:pt>
                <c:pt idx="142">
                  <c:v>2027-01-22</c:v>
                </c:pt>
                <c:pt idx="143">
                  <c:v>2027-01-23</c:v>
                </c:pt>
                <c:pt idx="144">
                  <c:v>2027-01-24</c:v>
                </c:pt>
                <c:pt idx="145">
                  <c:v>2027-01-25</c:v>
                </c:pt>
                <c:pt idx="146">
                  <c:v>2027-01-26</c:v>
                </c:pt>
                <c:pt idx="147">
                  <c:v>2027-01-27</c:v>
                </c:pt>
                <c:pt idx="148">
                  <c:v>2027-01-28</c:v>
                </c:pt>
                <c:pt idx="149">
                  <c:v>2027-01-29</c:v>
                </c:pt>
                <c:pt idx="150">
                  <c:v>2027-01-30</c:v>
                </c:pt>
                <c:pt idx="151">
                  <c:v>2027-01-31</c:v>
                </c:pt>
                <c:pt idx="152">
                  <c:v>2027-02-01</c:v>
                </c:pt>
                <c:pt idx="153">
                  <c:v>2027-02-02</c:v>
                </c:pt>
                <c:pt idx="154">
                  <c:v>2027-02-03</c:v>
                </c:pt>
                <c:pt idx="155">
                  <c:v>2027-02-04</c:v>
                </c:pt>
                <c:pt idx="156">
                  <c:v>2027-02-05</c:v>
                </c:pt>
                <c:pt idx="157">
                  <c:v>2027-02-06</c:v>
                </c:pt>
                <c:pt idx="158">
                  <c:v>2027-02-07</c:v>
                </c:pt>
                <c:pt idx="159">
                  <c:v>2027-02-08</c:v>
                </c:pt>
                <c:pt idx="160">
                  <c:v>2027-02-09</c:v>
                </c:pt>
                <c:pt idx="161">
                  <c:v>2027-02-10</c:v>
                </c:pt>
                <c:pt idx="162">
                  <c:v>2027-02-11</c:v>
                </c:pt>
                <c:pt idx="163">
                  <c:v>2027-02-12</c:v>
                </c:pt>
                <c:pt idx="164">
                  <c:v>2027-02-13</c:v>
                </c:pt>
                <c:pt idx="165">
                  <c:v>2027-02-14</c:v>
                </c:pt>
                <c:pt idx="166">
                  <c:v>2027-02-15</c:v>
                </c:pt>
                <c:pt idx="167">
                  <c:v>2027-02-16</c:v>
                </c:pt>
                <c:pt idx="168">
                  <c:v>2027-02-17</c:v>
                </c:pt>
                <c:pt idx="169">
                  <c:v>2027-02-18</c:v>
                </c:pt>
                <c:pt idx="170">
                  <c:v>2027-02-19</c:v>
                </c:pt>
                <c:pt idx="171">
                  <c:v>2027-02-20</c:v>
                </c:pt>
                <c:pt idx="172">
                  <c:v>2027-02-21</c:v>
                </c:pt>
                <c:pt idx="173">
                  <c:v>2027-02-22</c:v>
                </c:pt>
                <c:pt idx="174">
                  <c:v>2027-02-23</c:v>
                </c:pt>
                <c:pt idx="175">
                  <c:v>2027-02-24</c:v>
                </c:pt>
                <c:pt idx="176">
                  <c:v>2027-02-25</c:v>
                </c:pt>
                <c:pt idx="177">
                  <c:v>2027-02-26</c:v>
                </c:pt>
                <c:pt idx="178">
                  <c:v>2027-02-27</c:v>
                </c:pt>
                <c:pt idx="179">
                  <c:v>2027-02-28</c:v>
                </c:pt>
                <c:pt idx="180">
                  <c:v>2027-03-01</c:v>
                </c:pt>
                <c:pt idx="181">
                  <c:v>2027-03-02</c:v>
                </c:pt>
                <c:pt idx="182">
                  <c:v>2027-03-03</c:v>
                </c:pt>
                <c:pt idx="183">
                  <c:v>2027-03-04</c:v>
                </c:pt>
              </c:strCache>
            </c:strRef>
          </c:cat>
          <c:val>
            <c:numRef>
              <c:f>日別データ!$C$6:$C$189</c:f>
              <c:numCache>
                <c:formatCode>#,##0</c:formatCode>
                <c:ptCount val="184"/>
                <c:pt idx="0">
                  <c:v>330</c:v>
                </c:pt>
                <c:pt idx="1">
                  <c:v>415</c:v>
                </c:pt>
                <c:pt idx="2">
                  <c:v>368</c:v>
                </c:pt>
                <c:pt idx="3">
                  <c:v>337</c:v>
                </c:pt>
                <c:pt idx="4">
                  <c:v>449</c:v>
                </c:pt>
                <c:pt idx="5">
                  <c:v>487</c:v>
                </c:pt>
                <c:pt idx="6">
                  <c:v>495</c:v>
                </c:pt>
                <c:pt idx="7">
                  <c:v>498</c:v>
                </c:pt>
                <c:pt idx="8">
                  <c:v>443</c:v>
                </c:pt>
                <c:pt idx="9">
                  <c:v>411</c:v>
                </c:pt>
                <c:pt idx="10">
                  <c:v>350</c:v>
                </c:pt>
                <c:pt idx="11">
                  <c:v>456</c:v>
                </c:pt>
                <c:pt idx="12">
                  <c:v>460</c:v>
                </c:pt>
                <c:pt idx="13">
                  <c:v>493</c:v>
                </c:pt>
                <c:pt idx="14">
                  <c:v>479</c:v>
                </c:pt>
                <c:pt idx="15">
                  <c:v>427</c:v>
                </c:pt>
                <c:pt idx="16">
                  <c:v>355</c:v>
                </c:pt>
                <c:pt idx="17">
                  <c:v>172</c:v>
                </c:pt>
                <c:pt idx="18">
                  <c:v>118</c:v>
                </c:pt>
                <c:pt idx="19">
                  <c:v>193</c:v>
                </c:pt>
                <c:pt idx="20">
                  <c:v>280</c:v>
                </c:pt>
                <c:pt idx="21">
                  <c:v>378</c:v>
                </c:pt>
                <c:pt idx="22">
                  <c:v>379</c:v>
                </c:pt>
                <c:pt idx="23">
                  <c:v>371</c:v>
                </c:pt>
                <c:pt idx="24">
                  <c:v>347</c:v>
                </c:pt>
                <c:pt idx="25">
                  <c:v>437</c:v>
                </c:pt>
                <c:pt idx="26">
                  <c:v>453</c:v>
                </c:pt>
                <c:pt idx="27">
                  <c:v>439</c:v>
                </c:pt>
                <c:pt idx="28">
                  <c:v>406</c:v>
                </c:pt>
                <c:pt idx="29">
                  <c:v>332</c:v>
                </c:pt>
                <c:pt idx="30">
                  <c:v>282</c:v>
                </c:pt>
                <c:pt idx="31">
                  <c:v>216</c:v>
                </c:pt>
                <c:pt idx="32">
                  <c:v>263</c:v>
                </c:pt>
                <c:pt idx="33">
                  <c:v>272</c:v>
                </c:pt>
                <c:pt idx="34">
                  <c:v>297</c:v>
                </c:pt>
                <c:pt idx="35">
                  <c:v>311</c:v>
                </c:pt>
                <c:pt idx="36">
                  <c:v>276</c:v>
                </c:pt>
                <c:pt idx="37">
                  <c:v>274</c:v>
                </c:pt>
                <c:pt idx="38">
                  <c:v>190</c:v>
                </c:pt>
                <c:pt idx="39">
                  <c:v>212</c:v>
                </c:pt>
                <c:pt idx="40">
                  <c:v>301</c:v>
                </c:pt>
                <c:pt idx="41">
                  <c:v>300</c:v>
                </c:pt>
                <c:pt idx="42">
                  <c:v>318</c:v>
                </c:pt>
                <c:pt idx="43">
                  <c:v>272</c:v>
                </c:pt>
                <c:pt idx="44">
                  <c:v>249</c:v>
                </c:pt>
                <c:pt idx="45">
                  <c:v>222</c:v>
                </c:pt>
                <c:pt idx="46">
                  <c:v>283</c:v>
                </c:pt>
                <c:pt idx="47">
                  <c:v>294</c:v>
                </c:pt>
                <c:pt idx="48">
                  <c:v>320</c:v>
                </c:pt>
                <c:pt idx="49">
                  <c:v>304</c:v>
                </c:pt>
                <c:pt idx="50">
                  <c:v>289</c:v>
                </c:pt>
                <c:pt idx="51">
                  <c:v>279</c:v>
                </c:pt>
                <c:pt idx="52">
                  <c:v>252</c:v>
                </c:pt>
                <c:pt idx="53">
                  <c:v>305</c:v>
                </c:pt>
                <c:pt idx="54">
                  <c:v>310</c:v>
                </c:pt>
                <c:pt idx="55">
                  <c:v>345</c:v>
                </c:pt>
                <c:pt idx="56">
                  <c:v>331</c:v>
                </c:pt>
                <c:pt idx="57">
                  <c:v>308</c:v>
                </c:pt>
                <c:pt idx="58">
                  <c:v>291</c:v>
                </c:pt>
                <c:pt idx="59">
                  <c:v>280</c:v>
                </c:pt>
                <c:pt idx="60">
                  <c:v>336</c:v>
                </c:pt>
                <c:pt idx="61">
                  <c:v>380</c:v>
                </c:pt>
                <c:pt idx="62">
                  <c:v>380</c:v>
                </c:pt>
                <c:pt idx="63">
                  <c:v>387</c:v>
                </c:pt>
                <c:pt idx="64">
                  <c:v>379</c:v>
                </c:pt>
                <c:pt idx="65">
                  <c:v>341</c:v>
                </c:pt>
                <c:pt idx="66">
                  <c:v>306</c:v>
                </c:pt>
                <c:pt idx="67">
                  <c:v>346</c:v>
                </c:pt>
                <c:pt idx="68">
                  <c:v>367</c:v>
                </c:pt>
                <c:pt idx="69">
                  <c:v>387</c:v>
                </c:pt>
                <c:pt idx="70">
                  <c:v>387</c:v>
                </c:pt>
                <c:pt idx="71">
                  <c:v>362</c:v>
                </c:pt>
                <c:pt idx="72">
                  <c:v>358</c:v>
                </c:pt>
                <c:pt idx="73">
                  <c:v>351</c:v>
                </c:pt>
                <c:pt idx="74">
                  <c:v>388</c:v>
                </c:pt>
                <c:pt idx="75">
                  <c:v>415</c:v>
                </c:pt>
                <c:pt idx="76">
                  <c:v>429</c:v>
                </c:pt>
                <c:pt idx="77">
                  <c:v>407</c:v>
                </c:pt>
                <c:pt idx="78">
                  <c:v>368</c:v>
                </c:pt>
                <c:pt idx="79">
                  <c:v>335</c:v>
                </c:pt>
                <c:pt idx="80">
                  <c:v>282</c:v>
                </c:pt>
                <c:pt idx="81">
                  <c:v>315</c:v>
                </c:pt>
                <c:pt idx="82">
                  <c:v>368</c:v>
                </c:pt>
                <c:pt idx="83">
                  <c:v>392</c:v>
                </c:pt>
                <c:pt idx="84">
                  <c:v>408</c:v>
                </c:pt>
                <c:pt idx="85">
                  <c:v>408</c:v>
                </c:pt>
                <c:pt idx="86">
                  <c:v>385</c:v>
                </c:pt>
                <c:pt idx="87">
                  <c:v>369</c:v>
                </c:pt>
                <c:pt idx="88">
                  <c:v>428</c:v>
                </c:pt>
                <c:pt idx="89">
                  <c:v>473</c:v>
                </c:pt>
                <c:pt idx="90">
                  <c:v>466</c:v>
                </c:pt>
                <c:pt idx="91">
                  <c:v>448</c:v>
                </c:pt>
                <c:pt idx="92">
                  <c:v>436</c:v>
                </c:pt>
                <c:pt idx="93">
                  <c:v>439</c:v>
                </c:pt>
                <c:pt idx="94">
                  <c:v>446</c:v>
                </c:pt>
                <c:pt idx="95">
                  <c:v>477</c:v>
                </c:pt>
                <c:pt idx="96">
                  <c:v>491</c:v>
                </c:pt>
                <c:pt idx="97">
                  <c:v>498</c:v>
                </c:pt>
                <c:pt idx="98">
                  <c:v>488</c:v>
                </c:pt>
                <c:pt idx="99">
                  <c:v>478</c:v>
                </c:pt>
                <c:pt idx="100">
                  <c:v>470</c:v>
                </c:pt>
                <c:pt idx="101">
                  <c:v>461</c:v>
                </c:pt>
                <c:pt idx="102">
                  <c:v>494</c:v>
                </c:pt>
                <c:pt idx="103">
                  <c:v>487</c:v>
                </c:pt>
                <c:pt idx="104">
                  <c:v>489</c:v>
                </c:pt>
                <c:pt idx="105">
                  <c:v>478</c:v>
                </c:pt>
                <c:pt idx="106">
                  <c:v>483</c:v>
                </c:pt>
                <c:pt idx="107">
                  <c:v>469</c:v>
                </c:pt>
                <c:pt idx="108">
                  <c:v>433</c:v>
                </c:pt>
                <c:pt idx="109">
                  <c:v>443</c:v>
                </c:pt>
                <c:pt idx="110">
                  <c:v>445</c:v>
                </c:pt>
                <c:pt idx="111">
                  <c:v>447</c:v>
                </c:pt>
                <c:pt idx="112">
                  <c:v>430</c:v>
                </c:pt>
                <c:pt idx="113">
                  <c:v>424</c:v>
                </c:pt>
                <c:pt idx="114">
                  <c:v>388</c:v>
                </c:pt>
                <c:pt idx="115">
                  <c:v>359</c:v>
                </c:pt>
                <c:pt idx="116">
                  <c:v>336</c:v>
                </c:pt>
                <c:pt idx="117">
                  <c:v>317</c:v>
                </c:pt>
                <c:pt idx="118">
                  <c:v>297</c:v>
                </c:pt>
                <c:pt idx="119">
                  <c:v>288</c:v>
                </c:pt>
                <c:pt idx="120">
                  <c:v>284</c:v>
                </c:pt>
                <c:pt idx="121">
                  <c:v>317</c:v>
                </c:pt>
                <c:pt idx="122">
                  <c:v>387</c:v>
                </c:pt>
                <c:pt idx="123">
                  <c:v>469</c:v>
                </c:pt>
                <c:pt idx="124">
                  <c:v>515</c:v>
                </c:pt>
                <c:pt idx="125">
                  <c:v>540</c:v>
                </c:pt>
                <c:pt idx="126">
                  <c:v>533</c:v>
                </c:pt>
                <c:pt idx="127">
                  <c:v>527</c:v>
                </c:pt>
                <c:pt idx="128">
                  <c:v>511</c:v>
                </c:pt>
                <c:pt idx="129">
                  <c:v>513</c:v>
                </c:pt>
                <c:pt idx="130">
                  <c:v>532</c:v>
                </c:pt>
                <c:pt idx="131">
                  <c:v>553</c:v>
                </c:pt>
                <c:pt idx="132">
                  <c:v>550</c:v>
                </c:pt>
                <c:pt idx="133">
                  <c:v>560</c:v>
                </c:pt>
                <c:pt idx="134">
                  <c:v>561</c:v>
                </c:pt>
                <c:pt idx="135">
                  <c:v>539</c:v>
                </c:pt>
                <c:pt idx="136">
                  <c:v>530</c:v>
                </c:pt>
                <c:pt idx="137">
                  <c:v>570</c:v>
                </c:pt>
                <c:pt idx="138">
                  <c:v>577</c:v>
                </c:pt>
                <c:pt idx="139">
                  <c:v>574</c:v>
                </c:pt>
                <c:pt idx="140">
                  <c:v>578</c:v>
                </c:pt>
                <c:pt idx="141">
                  <c:v>562</c:v>
                </c:pt>
                <c:pt idx="142">
                  <c:v>544</c:v>
                </c:pt>
                <c:pt idx="143">
                  <c:v>552</c:v>
                </c:pt>
                <c:pt idx="144">
                  <c:v>581</c:v>
                </c:pt>
                <c:pt idx="145">
                  <c:v>583</c:v>
                </c:pt>
                <c:pt idx="146">
                  <c:v>578</c:v>
                </c:pt>
                <c:pt idx="147">
                  <c:v>573</c:v>
                </c:pt>
                <c:pt idx="148">
                  <c:v>576</c:v>
                </c:pt>
                <c:pt idx="149">
                  <c:v>566</c:v>
                </c:pt>
                <c:pt idx="150">
                  <c:v>560</c:v>
                </c:pt>
                <c:pt idx="151">
                  <c:v>597</c:v>
                </c:pt>
                <c:pt idx="152">
                  <c:v>601</c:v>
                </c:pt>
                <c:pt idx="153">
                  <c:v>587</c:v>
                </c:pt>
                <c:pt idx="154">
                  <c:v>585</c:v>
                </c:pt>
                <c:pt idx="155">
                  <c:v>581</c:v>
                </c:pt>
                <c:pt idx="156">
                  <c:v>555</c:v>
                </c:pt>
                <c:pt idx="157">
                  <c:v>534</c:v>
                </c:pt>
                <c:pt idx="158">
                  <c:v>551</c:v>
                </c:pt>
                <c:pt idx="159">
                  <c:v>552</c:v>
                </c:pt>
                <c:pt idx="160">
                  <c:v>578</c:v>
                </c:pt>
                <c:pt idx="161">
                  <c:v>579</c:v>
                </c:pt>
                <c:pt idx="162">
                  <c:v>565</c:v>
                </c:pt>
                <c:pt idx="163">
                  <c:v>548</c:v>
                </c:pt>
                <c:pt idx="164">
                  <c:v>552</c:v>
                </c:pt>
                <c:pt idx="165">
                  <c:v>586</c:v>
                </c:pt>
                <c:pt idx="166">
                  <c:v>587</c:v>
                </c:pt>
                <c:pt idx="167">
                  <c:v>580</c:v>
                </c:pt>
                <c:pt idx="168">
                  <c:v>575</c:v>
                </c:pt>
                <c:pt idx="169">
                  <c:v>578</c:v>
                </c:pt>
                <c:pt idx="170">
                  <c:v>564</c:v>
                </c:pt>
                <c:pt idx="171">
                  <c:v>562</c:v>
                </c:pt>
                <c:pt idx="172">
                  <c:v>598</c:v>
                </c:pt>
                <c:pt idx="173">
                  <c:v>597</c:v>
                </c:pt>
                <c:pt idx="174">
                  <c:v>596</c:v>
                </c:pt>
                <c:pt idx="175">
                  <c:v>593</c:v>
                </c:pt>
                <c:pt idx="176">
                  <c:v>594</c:v>
                </c:pt>
                <c:pt idx="177">
                  <c:v>576</c:v>
                </c:pt>
                <c:pt idx="178">
                  <c:v>572</c:v>
                </c:pt>
                <c:pt idx="179">
                  <c:v>590</c:v>
                </c:pt>
                <c:pt idx="180">
                  <c:v>520</c:v>
                </c:pt>
                <c:pt idx="181">
                  <c:v>505</c:v>
                </c:pt>
                <c:pt idx="182">
                  <c:v>496</c:v>
                </c:pt>
                <c:pt idx="183">
                  <c:v>477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71945469"/>
        <c:axId val="32459382"/>
      </c:lineChart>
      <c:catAx>
        <c:axId val="7194546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日付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2459382"/>
        <c:crosses val="autoZero"/>
        <c:auto val="1"/>
        <c:lblAlgn val="ctr"/>
        <c:lblOffset val="100"/>
        <c:noMultiLvlLbl val="0"/>
      </c:catAx>
      <c:valAx>
        <c:axId val="3245938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件数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1945469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月別平均在庫件数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月別サマリ!B1</c:f>
              <c:strCache>
                <c:ptCount val="1"/>
                <c:pt idx="0">
                  <c:v>平均件数</c:v>
                </c:pt>
              </c:strCache>
            </c:strRef>
          </c:tx>
          <c:spPr>
            <a:solidFill>
              <a:srgbClr val="4A7EBB"/>
            </a:solidFill>
            <a:ln w="1260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月別サマリ!$A$2:$A$9</c:f>
              <c:strCache>
                <c:ptCount val="8"/>
                <c:pt idx="0">
                  <c:v>2026-09</c:v>
                </c:pt>
                <c:pt idx="1">
                  <c:v>2026-10</c:v>
                </c:pt>
                <c:pt idx="2">
                  <c:v>2026-11</c:v>
                </c:pt>
                <c:pt idx="3">
                  <c:v>2026-12</c:v>
                </c:pt>
                <c:pt idx="4">
                  <c:v>2027-01</c:v>
                </c:pt>
                <c:pt idx="5">
                  <c:v>2027-02</c:v>
                </c:pt>
                <c:pt idx="6">
                  <c:v>2027-03</c:v>
                </c:pt>
                <c:pt idx="7">
                  <c:v/>
                </c:pt>
              </c:strCache>
            </c:strRef>
          </c:cat>
          <c:val>
            <c:numRef>
              <c:f>月別サマリ!$B$2:$B$9</c:f>
              <c:numCache>
                <c:formatCode>#,##0.0</c:formatCode>
                <c:ptCount val="8"/>
                <c:pt idx="0">
                  <c:v>387.1</c:v>
                </c:pt>
                <c:pt idx="1">
                  <c:v>283.2</c:v>
                </c:pt>
                <c:pt idx="2">
                  <c:v>374.6</c:v>
                </c:pt>
                <c:pt idx="3">
                  <c:v>431.9</c:v>
                </c:pt>
                <c:pt idx="4">
                  <c:v>539</c:v>
                </c:pt>
                <c:pt idx="5">
                  <c:v>575.6</c:v>
                </c:pt>
                <c:pt idx="6">
                  <c:v>499.5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7729815"/>
        <c:axId val="96608098"/>
      </c:lineChart>
      <c:catAx>
        <c:axId val="77298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6608098"/>
        <c:crosses val="autoZero"/>
        <c:auto val="1"/>
        <c:lblAlgn val="ctr"/>
        <c:lblOffset val="100"/>
        <c:noMultiLvlLbl val="0"/>
      </c:catAx>
      <c:valAx>
        <c:axId val="9660809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件数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729815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4</xdr:row>
      <xdr:rowOff>0</xdr:rowOff>
    </xdr:from>
    <xdr:to>
      <xdr:col>24</xdr:col>
      <xdr:colOff>404280</xdr:colOff>
      <xdr:row>22</xdr:row>
      <xdr:rowOff>143640</xdr:rowOff>
    </xdr:to>
    <xdr:graphicFrame>
      <xdr:nvGraphicFramePr>
        <xdr:cNvPr id="1" name="Chart 1"/>
        <xdr:cNvGraphicFramePr/>
      </xdr:nvGraphicFramePr>
      <xdr:xfrm>
        <a:off x="5616000" y="826920"/>
        <a:ext cx="1079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1</xdr:row>
      <xdr:rowOff>0</xdr:rowOff>
    </xdr:from>
    <xdr:to>
      <xdr:col>16</xdr:col>
      <xdr:colOff>364680</xdr:colOff>
      <xdr:row>18</xdr:row>
      <xdr:rowOff>1080</xdr:rowOff>
    </xdr:to>
    <xdr:graphicFrame>
      <xdr:nvGraphicFramePr>
        <xdr:cNvPr id="2" name="Chart 1"/>
        <xdr:cNvGraphicFramePr/>
      </xdr:nvGraphicFramePr>
      <xdr:xfrm>
        <a:off x="4276800" y="190440"/>
        <a:ext cx="64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9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7"/>
    <col collapsed="false" customWidth="true" hidden="false" outlineLevel="0" max="3" min="3" style="0" width="13"/>
    <col collapsed="false" customWidth="true" hidden="false" outlineLevel="0" max="4" min="4" style="0" width="15"/>
    <col collapsed="false" customWidth="true" hidden="false" outlineLevel="0" max="5" min="5" style="0" width="10"/>
    <col collapsed="false" customWidth="true" hidden="false" outlineLevel="0" max="6" min="6" style="0" width="13"/>
  </cols>
  <sheetData>
    <row r="1" customFormat="false" ht="20.1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5" customFormat="false" ht="17.15" hidden="false" customHeight="false" outlineLevel="0" collapsed="false">
      <c r="A5" s="3" t="s">
        <v>3</v>
      </c>
      <c r="B5" s="3" t="s">
        <v>4</v>
      </c>
      <c r="C5" s="3" t="s">
        <v>5</v>
      </c>
      <c r="D5" s="4" t="s">
        <v>6</v>
      </c>
      <c r="E5" s="3" t="s">
        <v>7</v>
      </c>
      <c r="F5" s="3" t="s">
        <v>8</v>
      </c>
    </row>
    <row r="6" customFormat="false" ht="15" hidden="false" customHeight="false" outlineLevel="0" collapsed="false">
      <c r="A6" s="5" t="n">
        <v>46267</v>
      </c>
      <c r="B6" s="6" t="s">
        <v>9</v>
      </c>
      <c r="C6" s="7" t="n">
        <v>330</v>
      </c>
      <c r="D6" s="6"/>
      <c r="E6" s="8" t="s">
        <v>10</v>
      </c>
      <c r="F6" s="8" t="s">
        <v>11</v>
      </c>
    </row>
    <row r="7" customFormat="false" ht="15" hidden="false" customHeight="false" outlineLevel="0" collapsed="false">
      <c r="A7" s="5" t="n">
        <v>46268</v>
      </c>
      <c r="B7" s="6" t="s">
        <v>12</v>
      </c>
      <c r="C7" s="7" t="n">
        <v>415</v>
      </c>
      <c r="D7" s="8"/>
      <c r="E7" s="8" t="s">
        <v>10</v>
      </c>
      <c r="F7" s="8" t="s">
        <v>13</v>
      </c>
    </row>
    <row r="8" customFormat="false" ht="15" hidden="false" customHeight="false" outlineLevel="0" collapsed="false">
      <c r="A8" s="5" t="n">
        <v>46269</v>
      </c>
      <c r="B8" s="6" t="s">
        <v>14</v>
      </c>
      <c r="C8" s="7" t="n">
        <v>368</v>
      </c>
      <c r="D8" s="8"/>
      <c r="E8" s="8" t="s">
        <v>10</v>
      </c>
      <c r="F8" s="8" t="s">
        <v>15</v>
      </c>
    </row>
    <row r="9" customFormat="false" ht="15" hidden="false" customHeight="false" outlineLevel="0" collapsed="false">
      <c r="A9" s="5" t="n">
        <v>46270</v>
      </c>
      <c r="B9" s="6" t="s">
        <v>16</v>
      </c>
      <c r="C9" s="7" t="n">
        <v>337</v>
      </c>
      <c r="D9" s="8"/>
      <c r="E9" s="8" t="s">
        <v>10</v>
      </c>
      <c r="F9" s="8" t="s">
        <v>17</v>
      </c>
    </row>
    <row r="10" customFormat="false" ht="15" hidden="false" customHeight="false" outlineLevel="0" collapsed="false">
      <c r="A10" s="5" t="n">
        <v>46271</v>
      </c>
      <c r="B10" s="6" t="s">
        <v>18</v>
      </c>
      <c r="C10" s="7" t="n">
        <v>449</v>
      </c>
      <c r="D10" s="8"/>
      <c r="E10" s="8" t="s">
        <v>10</v>
      </c>
      <c r="F10" s="8" t="s">
        <v>19</v>
      </c>
    </row>
    <row r="11" customFormat="false" ht="15" hidden="false" customHeight="false" outlineLevel="0" collapsed="false">
      <c r="A11" s="5" t="n">
        <v>46272</v>
      </c>
      <c r="B11" s="6" t="s">
        <v>7</v>
      </c>
      <c r="C11" s="7" t="n">
        <v>487</v>
      </c>
      <c r="D11" s="8"/>
      <c r="E11" s="8" t="s">
        <v>10</v>
      </c>
      <c r="F11" s="8" t="s">
        <v>20</v>
      </c>
    </row>
    <row r="12" customFormat="false" ht="15" hidden="false" customHeight="false" outlineLevel="0" collapsed="false">
      <c r="A12" s="5" t="n">
        <v>46273</v>
      </c>
      <c r="B12" s="6" t="s">
        <v>21</v>
      </c>
      <c r="C12" s="7" t="n">
        <v>495</v>
      </c>
      <c r="D12" s="9" t="n">
        <f aca="false">ROUND(AVERAGE(C6:C12),1)</f>
        <v>411.6</v>
      </c>
      <c r="E12" s="8" t="s">
        <v>10</v>
      </c>
      <c r="F12" s="8" t="s">
        <v>22</v>
      </c>
    </row>
    <row r="13" customFormat="false" ht="15" hidden="false" customHeight="false" outlineLevel="0" collapsed="false">
      <c r="A13" s="5" t="n">
        <v>46274</v>
      </c>
      <c r="B13" s="6" t="s">
        <v>9</v>
      </c>
      <c r="C13" s="7" t="n">
        <v>498</v>
      </c>
      <c r="D13" s="9" t="n">
        <f aca="false">ROUND(AVERAGE(C7:C13),1)</f>
        <v>435.6</v>
      </c>
      <c r="E13" s="8" t="s">
        <v>10</v>
      </c>
      <c r="F13" s="8" t="s">
        <v>23</v>
      </c>
    </row>
    <row r="14" customFormat="false" ht="15" hidden="false" customHeight="false" outlineLevel="0" collapsed="false">
      <c r="A14" s="5" t="n">
        <v>46275</v>
      </c>
      <c r="B14" s="6" t="s">
        <v>12</v>
      </c>
      <c r="C14" s="7" t="n">
        <v>443</v>
      </c>
      <c r="D14" s="9" t="n">
        <f aca="false">ROUND(AVERAGE(C8:C14),1)</f>
        <v>439.6</v>
      </c>
      <c r="E14" s="8" t="s">
        <v>10</v>
      </c>
      <c r="F14" s="8" t="s">
        <v>24</v>
      </c>
    </row>
    <row r="15" customFormat="false" ht="15" hidden="false" customHeight="false" outlineLevel="0" collapsed="false">
      <c r="A15" s="5" t="n">
        <v>46276</v>
      </c>
      <c r="B15" s="6" t="s">
        <v>14</v>
      </c>
      <c r="C15" s="7" t="n">
        <v>411</v>
      </c>
      <c r="D15" s="9" t="n">
        <f aca="false">ROUND(AVERAGE(C9:C15),1)</f>
        <v>445.7</v>
      </c>
      <c r="E15" s="8" t="s">
        <v>10</v>
      </c>
      <c r="F15" s="8" t="s">
        <v>25</v>
      </c>
    </row>
    <row r="16" customFormat="false" ht="15" hidden="false" customHeight="false" outlineLevel="0" collapsed="false">
      <c r="A16" s="5" t="n">
        <v>46277</v>
      </c>
      <c r="B16" s="6" t="s">
        <v>16</v>
      </c>
      <c r="C16" s="7" t="n">
        <v>350</v>
      </c>
      <c r="D16" s="9" t="n">
        <f aca="false">ROUND(AVERAGE(C10:C16),1)</f>
        <v>447.6</v>
      </c>
      <c r="E16" s="8" t="s">
        <v>10</v>
      </c>
      <c r="F16" s="8" t="s">
        <v>26</v>
      </c>
    </row>
    <row r="17" customFormat="false" ht="15" hidden="false" customHeight="false" outlineLevel="0" collapsed="false">
      <c r="A17" s="5" t="n">
        <v>46278</v>
      </c>
      <c r="B17" s="6" t="s">
        <v>18</v>
      </c>
      <c r="C17" s="7" t="n">
        <v>456</v>
      </c>
      <c r="D17" s="9" t="n">
        <f aca="false">ROUND(AVERAGE(C11:C17),1)</f>
        <v>448.6</v>
      </c>
      <c r="E17" s="8" t="s">
        <v>10</v>
      </c>
      <c r="F17" s="8" t="s">
        <v>27</v>
      </c>
    </row>
    <row r="18" customFormat="false" ht="15" hidden="false" customHeight="false" outlineLevel="0" collapsed="false">
      <c r="A18" s="5" t="n">
        <v>46279</v>
      </c>
      <c r="B18" s="6" t="s">
        <v>7</v>
      </c>
      <c r="C18" s="7" t="n">
        <v>460</v>
      </c>
      <c r="D18" s="9" t="n">
        <f aca="false">ROUND(AVERAGE(C12:C18),1)</f>
        <v>444.7</v>
      </c>
      <c r="E18" s="8" t="s">
        <v>10</v>
      </c>
      <c r="F18" s="8" t="s">
        <v>28</v>
      </c>
    </row>
    <row r="19" customFormat="false" ht="15" hidden="false" customHeight="false" outlineLevel="0" collapsed="false">
      <c r="A19" s="5" t="n">
        <v>46280</v>
      </c>
      <c r="B19" s="6" t="s">
        <v>21</v>
      </c>
      <c r="C19" s="7" t="n">
        <v>493</v>
      </c>
      <c r="D19" s="9" t="n">
        <f aca="false">ROUND(AVERAGE(C13:C19),1)</f>
        <v>444.4</v>
      </c>
      <c r="E19" s="8" t="s">
        <v>10</v>
      </c>
      <c r="F19" s="8" t="s">
        <v>29</v>
      </c>
    </row>
    <row r="20" customFormat="false" ht="15" hidden="false" customHeight="false" outlineLevel="0" collapsed="false">
      <c r="A20" s="5" t="n">
        <v>46281</v>
      </c>
      <c r="B20" s="6" t="s">
        <v>9</v>
      </c>
      <c r="C20" s="7" t="n">
        <v>479</v>
      </c>
      <c r="D20" s="9" t="n">
        <f aca="false">ROUND(AVERAGE(C14:C20),1)</f>
        <v>441.7</v>
      </c>
      <c r="E20" s="8" t="s">
        <v>10</v>
      </c>
      <c r="F20" s="8" t="s">
        <v>30</v>
      </c>
    </row>
    <row r="21" customFormat="false" ht="15" hidden="false" customHeight="false" outlineLevel="0" collapsed="false">
      <c r="A21" s="5" t="n">
        <v>46282</v>
      </c>
      <c r="B21" s="6" t="s">
        <v>12</v>
      </c>
      <c r="C21" s="7" t="n">
        <v>427</v>
      </c>
      <c r="D21" s="9" t="n">
        <f aca="false">ROUND(AVERAGE(C15:C21),1)</f>
        <v>439.4</v>
      </c>
      <c r="E21" s="8" t="s">
        <v>10</v>
      </c>
      <c r="F21" s="8" t="s">
        <v>31</v>
      </c>
    </row>
    <row r="22" customFormat="false" ht="15" hidden="false" customHeight="false" outlineLevel="0" collapsed="false">
      <c r="A22" s="5" t="n">
        <v>46283</v>
      </c>
      <c r="B22" s="6" t="s">
        <v>14</v>
      </c>
      <c r="C22" s="7" t="n">
        <v>355</v>
      </c>
      <c r="D22" s="9" t="n">
        <f aca="false">ROUND(AVERAGE(C16:C22),1)</f>
        <v>431.4</v>
      </c>
      <c r="E22" s="8" t="s">
        <v>10</v>
      </c>
      <c r="F22" s="8" t="s">
        <v>32</v>
      </c>
    </row>
    <row r="23" customFormat="false" ht="15" hidden="false" customHeight="false" outlineLevel="0" collapsed="false">
      <c r="A23" s="5" t="n">
        <v>46284</v>
      </c>
      <c r="B23" s="6" t="s">
        <v>16</v>
      </c>
      <c r="C23" s="7" t="n">
        <v>172</v>
      </c>
      <c r="D23" s="9" t="n">
        <f aca="false">ROUND(AVERAGE(C17:C23),1)</f>
        <v>406</v>
      </c>
      <c r="E23" s="8" t="s">
        <v>10</v>
      </c>
      <c r="F23" s="8" t="s">
        <v>33</v>
      </c>
    </row>
    <row r="24" customFormat="false" ht="15" hidden="false" customHeight="false" outlineLevel="0" collapsed="false">
      <c r="A24" s="5" t="n">
        <v>46285</v>
      </c>
      <c r="B24" s="6" t="s">
        <v>18</v>
      </c>
      <c r="C24" s="7" t="n">
        <v>118</v>
      </c>
      <c r="D24" s="9" t="n">
        <f aca="false">ROUND(AVERAGE(C18:C24),1)</f>
        <v>357.7</v>
      </c>
      <c r="E24" s="8" t="s">
        <v>10</v>
      </c>
      <c r="F24" s="8" t="s">
        <v>34</v>
      </c>
    </row>
    <row r="25" customFormat="false" ht="15" hidden="false" customHeight="false" outlineLevel="0" collapsed="false">
      <c r="A25" s="5" t="n">
        <v>46286</v>
      </c>
      <c r="B25" s="6" t="s">
        <v>7</v>
      </c>
      <c r="C25" s="7" t="n">
        <v>193</v>
      </c>
      <c r="D25" s="9" t="n">
        <f aca="false">ROUND(AVERAGE(C19:C25),1)</f>
        <v>319.6</v>
      </c>
      <c r="E25" s="8" t="s">
        <v>10</v>
      </c>
      <c r="F25" s="8" t="s">
        <v>35</v>
      </c>
    </row>
    <row r="26" customFormat="false" ht="15" hidden="false" customHeight="false" outlineLevel="0" collapsed="false">
      <c r="A26" s="5" t="n">
        <v>46287</v>
      </c>
      <c r="B26" s="6" t="s">
        <v>21</v>
      </c>
      <c r="C26" s="7" t="n">
        <v>280</v>
      </c>
      <c r="D26" s="9" t="n">
        <f aca="false">ROUND(AVERAGE(C20:C26),1)</f>
        <v>289.1</v>
      </c>
      <c r="E26" s="8" t="s">
        <v>10</v>
      </c>
      <c r="F26" s="8" t="s">
        <v>36</v>
      </c>
    </row>
    <row r="27" customFormat="false" ht="15" hidden="false" customHeight="false" outlineLevel="0" collapsed="false">
      <c r="A27" s="5" t="n">
        <v>46288</v>
      </c>
      <c r="B27" s="6" t="s">
        <v>9</v>
      </c>
      <c r="C27" s="7" t="n">
        <v>378</v>
      </c>
      <c r="D27" s="9" t="n">
        <f aca="false">ROUND(AVERAGE(C21:C27),1)</f>
        <v>274.7</v>
      </c>
      <c r="E27" s="8" t="s">
        <v>10</v>
      </c>
      <c r="F27" s="8" t="s">
        <v>37</v>
      </c>
    </row>
    <row r="28" customFormat="false" ht="15" hidden="false" customHeight="false" outlineLevel="0" collapsed="false">
      <c r="A28" s="5" t="n">
        <v>46289</v>
      </c>
      <c r="B28" s="6" t="s">
        <v>12</v>
      </c>
      <c r="C28" s="7" t="n">
        <v>379</v>
      </c>
      <c r="D28" s="9" t="n">
        <f aca="false">ROUND(AVERAGE(C22:C28),1)</f>
        <v>267.9</v>
      </c>
      <c r="E28" s="8" t="s">
        <v>10</v>
      </c>
      <c r="F28" s="8" t="s">
        <v>38</v>
      </c>
    </row>
    <row r="29" customFormat="false" ht="15" hidden="false" customHeight="false" outlineLevel="0" collapsed="false">
      <c r="A29" s="5" t="n">
        <v>46290</v>
      </c>
      <c r="B29" s="6" t="s">
        <v>14</v>
      </c>
      <c r="C29" s="7" t="n">
        <v>371</v>
      </c>
      <c r="D29" s="9" t="n">
        <f aca="false">ROUND(AVERAGE(C23:C29),1)</f>
        <v>270.1</v>
      </c>
      <c r="E29" s="8" t="s">
        <v>10</v>
      </c>
      <c r="F29" s="8" t="s">
        <v>39</v>
      </c>
    </row>
    <row r="30" customFormat="false" ht="15" hidden="false" customHeight="false" outlineLevel="0" collapsed="false">
      <c r="A30" s="5" t="n">
        <v>46291</v>
      </c>
      <c r="B30" s="6" t="s">
        <v>16</v>
      </c>
      <c r="C30" s="7" t="n">
        <v>347</v>
      </c>
      <c r="D30" s="9" t="n">
        <f aca="false">ROUND(AVERAGE(C24:C30),1)</f>
        <v>295.1</v>
      </c>
      <c r="E30" s="8" t="s">
        <v>10</v>
      </c>
      <c r="F30" s="8" t="s">
        <v>40</v>
      </c>
    </row>
    <row r="31" customFormat="false" ht="15" hidden="false" customHeight="false" outlineLevel="0" collapsed="false">
      <c r="A31" s="5" t="n">
        <v>46292</v>
      </c>
      <c r="B31" s="6" t="s">
        <v>18</v>
      </c>
      <c r="C31" s="7" t="n">
        <v>437</v>
      </c>
      <c r="D31" s="9" t="n">
        <f aca="false">ROUND(AVERAGE(C25:C31),1)</f>
        <v>340.7</v>
      </c>
      <c r="E31" s="8" t="s">
        <v>10</v>
      </c>
      <c r="F31" s="8" t="s">
        <v>41</v>
      </c>
    </row>
    <row r="32" customFormat="false" ht="15" hidden="false" customHeight="false" outlineLevel="0" collapsed="false">
      <c r="A32" s="5" t="n">
        <v>46293</v>
      </c>
      <c r="B32" s="6" t="s">
        <v>7</v>
      </c>
      <c r="C32" s="7" t="n">
        <v>453</v>
      </c>
      <c r="D32" s="9" t="n">
        <f aca="false">ROUND(AVERAGE(C26:C32),1)</f>
        <v>377.9</v>
      </c>
      <c r="E32" s="8" t="s">
        <v>10</v>
      </c>
      <c r="F32" s="8" t="s">
        <v>42</v>
      </c>
    </row>
    <row r="33" customFormat="false" ht="15" hidden="false" customHeight="false" outlineLevel="0" collapsed="false">
      <c r="A33" s="5" t="n">
        <v>46294</v>
      </c>
      <c r="B33" s="6" t="s">
        <v>21</v>
      </c>
      <c r="C33" s="7" t="n">
        <v>439</v>
      </c>
      <c r="D33" s="9" t="n">
        <f aca="false">ROUND(AVERAGE(C27:C33),1)</f>
        <v>400.6</v>
      </c>
      <c r="E33" s="8" t="s">
        <v>10</v>
      </c>
      <c r="F33" s="8" t="s">
        <v>43</v>
      </c>
    </row>
    <row r="34" customFormat="false" ht="15" hidden="false" customHeight="false" outlineLevel="0" collapsed="false">
      <c r="A34" s="5" t="n">
        <v>46295</v>
      </c>
      <c r="B34" s="6" t="s">
        <v>9</v>
      </c>
      <c r="C34" s="7" t="n">
        <v>406</v>
      </c>
      <c r="D34" s="9" t="n">
        <f aca="false">ROUND(AVERAGE(C28:C34),1)</f>
        <v>404.6</v>
      </c>
      <c r="E34" s="8" t="s">
        <v>10</v>
      </c>
      <c r="F34" s="8" t="s">
        <v>44</v>
      </c>
    </row>
    <row r="35" customFormat="false" ht="15" hidden="false" customHeight="false" outlineLevel="0" collapsed="false">
      <c r="A35" s="5" t="n">
        <v>46296</v>
      </c>
      <c r="B35" s="6" t="s">
        <v>12</v>
      </c>
      <c r="C35" s="7" t="n">
        <v>332</v>
      </c>
      <c r="D35" s="9" t="n">
        <f aca="false">ROUND(AVERAGE(C29:C35),1)</f>
        <v>397.9</v>
      </c>
      <c r="E35" s="8" t="s">
        <v>45</v>
      </c>
      <c r="F35" s="8" t="s">
        <v>46</v>
      </c>
    </row>
    <row r="36" customFormat="false" ht="15" hidden="false" customHeight="false" outlineLevel="0" collapsed="false">
      <c r="A36" s="5" t="n">
        <v>46297</v>
      </c>
      <c r="B36" s="6" t="s">
        <v>14</v>
      </c>
      <c r="C36" s="7" t="n">
        <v>282</v>
      </c>
      <c r="D36" s="9" t="n">
        <f aca="false">ROUND(AVERAGE(C30:C36),1)</f>
        <v>385.1</v>
      </c>
      <c r="E36" s="8" t="s">
        <v>45</v>
      </c>
      <c r="F36" s="8" t="s">
        <v>47</v>
      </c>
    </row>
    <row r="37" customFormat="false" ht="15" hidden="false" customHeight="false" outlineLevel="0" collapsed="false">
      <c r="A37" s="5" t="n">
        <v>46298</v>
      </c>
      <c r="B37" s="6" t="s">
        <v>16</v>
      </c>
      <c r="C37" s="7" t="n">
        <v>216</v>
      </c>
      <c r="D37" s="9" t="n">
        <f aca="false">ROUND(AVERAGE(C31:C37),1)</f>
        <v>366.4</v>
      </c>
      <c r="E37" s="8" t="s">
        <v>45</v>
      </c>
      <c r="F37" s="8" t="s">
        <v>48</v>
      </c>
    </row>
    <row r="38" customFormat="false" ht="15" hidden="false" customHeight="false" outlineLevel="0" collapsed="false">
      <c r="A38" s="5" t="n">
        <v>46299</v>
      </c>
      <c r="B38" s="6" t="s">
        <v>18</v>
      </c>
      <c r="C38" s="7" t="n">
        <v>263</v>
      </c>
      <c r="D38" s="9" t="n">
        <f aca="false">ROUND(AVERAGE(C32:C38),1)</f>
        <v>341.6</v>
      </c>
      <c r="E38" s="8" t="s">
        <v>45</v>
      </c>
      <c r="F38" s="8" t="s">
        <v>49</v>
      </c>
    </row>
    <row r="39" customFormat="false" ht="15" hidden="false" customHeight="false" outlineLevel="0" collapsed="false">
      <c r="A39" s="5" t="n">
        <v>46300</v>
      </c>
      <c r="B39" s="6" t="s">
        <v>7</v>
      </c>
      <c r="C39" s="7" t="n">
        <v>272</v>
      </c>
      <c r="D39" s="9" t="n">
        <f aca="false">ROUND(AVERAGE(C33:C39),1)</f>
        <v>315.7</v>
      </c>
      <c r="E39" s="8" t="s">
        <v>45</v>
      </c>
      <c r="F39" s="8" t="s">
        <v>50</v>
      </c>
    </row>
    <row r="40" customFormat="false" ht="15" hidden="false" customHeight="false" outlineLevel="0" collapsed="false">
      <c r="A40" s="5" t="n">
        <v>46301</v>
      </c>
      <c r="B40" s="6" t="s">
        <v>21</v>
      </c>
      <c r="C40" s="7" t="n">
        <v>297</v>
      </c>
      <c r="D40" s="9" t="n">
        <f aca="false">ROUND(AVERAGE(C34:C40),1)</f>
        <v>295.4</v>
      </c>
      <c r="E40" s="8" t="s">
        <v>45</v>
      </c>
      <c r="F40" s="8" t="s">
        <v>51</v>
      </c>
    </row>
    <row r="41" customFormat="false" ht="15" hidden="false" customHeight="false" outlineLevel="0" collapsed="false">
      <c r="A41" s="5" t="n">
        <v>46302</v>
      </c>
      <c r="B41" s="6" t="s">
        <v>9</v>
      </c>
      <c r="C41" s="7" t="n">
        <v>311</v>
      </c>
      <c r="D41" s="9" t="n">
        <f aca="false">ROUND(AVERAGE(C35:C41),1)</f>
        <v>281.9</v>
      </c>
      <c r="E41" s="8" t="s">
        <v>45</v>
      </c>
      <c r="F41" s="8" t="s">
        <v>52</v>
      </c>
    </row>
    <row r="42" customFormat="false" ht="15" hidden="false" customHeight="false" outlineLevel="0" collapsed="false">
      <c r="A42" s="5" t="n">
        <v>46303</v>
      </c>
      <c r="B42" s="6" t="s">
        <v>12</v>
      </c>
      <c r="C42" s="7" t="n">
        <v>276</v>
      </c>
      <c r="D42" s="9" t="n">
        <f aca="false">ROUND(AVERAGE(C36:C42),1)</f>
        <v>273.9</v>
      </c>
      <c r="E42" s="8" t="s">
        <v>45</v>
      </c>
      <c r="F42" s="8" t="s">
        <v>53</v>
      </c>
    </row>
    <row r="43" customFormat="false" ht="15" hidden="false" customHeight="false" outlineLevel="0" collapsed="false">
      <c r="A43" s="5" t="n">
        <v>46304</v>
      </c>
      <c r="B43" s="6" t="s">
        <v>14</v>
      </c>
      <c r="C43" s="7" t="n">
        <v>274</v>
      </c>
      <c r="D43" s="9" t="n">
        <f aca="false">ROUND(AVERAGE(C37:C43),1)</f>
        <v>272.7</v>
      </c>
      <c r="E43" s="8" t="s">
        <v>45</v>
      </c>
      <c r="F43" s="8" t="s">
        <v>54</v>
      </c>
    </row>
    <row r="44" customFormat="false" ht="15" hidden="false" customHeight="false" outlineLevel="0" collapsed="false">
      <c r="A44" s="5" t="n">
        <v>46305</v>
      </c>
      <c r="B44" s="6" t="s">
        <v>16</v>
      </c>
      <c r="C44" s="7" t="n">
        <v>190</v>
      </c>
      <c r="D44" s="9" t="n">
        <f aca="false">ROUND(AVERAGE(C38:C44),1)</f>
        <v>269</v>
      </c>
      <c r="E44" s="8" t="s">
        <v>45</v>
      </c>
      <c r="F44" s="8" t="s">
        <v>55</v>
      </c>
    </row>
    <row r="45" customFormat="false" ht="15" hidden="false" customHeight="false" outlineLevel="0" collapsed="false">
      <c r="A45" s="5" t="n">
        <v>46306</v>
      </c>
      <c r="B45" s="6" t="s">
        <v>18</v>
      </c>
      <c r="C45" s="7" t="n">
        <v>212</v>
      </c>
      <c r="D45" s="9" t="n">
        <f aca="false">ROUND(AVERAGE(C39:C45),1)</f>
        <v>261.7</v>
      </c>
      <c r="E45" s="8" t="s">
        <v>45</v>
      </c>
      <c r="F45" s="8" t="s">
        <v>56</v>
      </c>
    </row>
    <row r="46" customFormat="false" ht="15" hidden="false" customHeight="false" outlineLevel="0" collapsed="false">
      <c r="A46" s="5" t="n">
        <v>46307</v>
      </c>
      <c r="B46" s="6" t="s">
        <v>7</v>
      </c>
      <c r="C46" s="7" t="n">
        <v>301</v>
      </c>
      <c r="D46" s="9" t="n">
        <f aca="false">ROUND(AVERAGE(C40:C46),1)</f>
        <v>265.9</v>
      </c>
      <c r="E46" s="8" t="s">
        <v>45</v>
      </c>
      <c r="F46" s="8" t="s">
        <v>57</v>
      </c>
    </row>
    <row r="47" customFormat="false" ht="15" hidden="false" customHeight="false" outlineLevel="0" collapsed="false">
      <c r="A47" s="5" t="n">
        <v>46308</v>
      </c>
      <c r="B47" s="6" t="s">
        <v>21</v>
      </c>
      <c r="C47" s="7" t="n">
        <v>300</v>
      </c>
      <c r="D47" s="9" t="n">
        <f aca="false">ROUND(AVERAGE(C41:C47),1)</f>
        <v>266.3</v>
      </c>
      <c r="E47" s="8" t="s">
        <v>45</v>
      </c>
      <c r="F47" s="8" t="s">
        <v>58</v>
      </c>
    </row>
    <row r="48" customFormat="false" ht="15" hidden="false" customHeight="false" outlineLevel="0" collapsed="false">
      <c r="A48" s="5" t="n">
        <v>46309</v>
      </c>
      <c r="B48" s="6" t="s">
        <v>9</v>
      </c>
      <c r="C48" s="7" t="n">
        <v>318</v>
      </c>
      <c r="D48" s="9" t="n">
        <f aca="false">ROUND(AVERAGE(C42:C48),1)</f>
        <v>267.3</v>
      </c>
      <c r="E48" s="8" t="s">
        <v>45</v>
      </c>
      <c r="F48" s="8" t="s">
        <v>59</v>
      </c>
    </row>
    <row r="49" customFormat="false" ht="15" hidden="false" customHeight="false" outlineLevel="0" collapsed="false">
      <c r="A49" s="5" t="n">
        <v>46310</v>
      </c>
      <c r="B49" s="6" t="s">
        <v>12</v>
      </c>
      <c r="C49" s="7" t="n">
        <v>272</v>
      </c>
      <c r="D49" s="9" t="n">
        <f aca="false">ROUND(AVERAGE(C43:C49),1)</f>
        <v>266.7</v>
      </c>
      <c r="E49" s="8" t="s">
        <v>45</v>
      </c>
      <c r="F49" s="8" t="s">
        <v>60</v>
      </c>
    </row>
    <row r="50" customFormat="false" ht="15" hidden="false" customHeight="false" outlineLevel="0" collapsed="false">
      <c r="A50" s="5" t="n">
        <v>46311</v>
      </c>
      <c r="B50" s="6" t="s">
        <v>14</v>
      </c>
      <c r="C50" s="7" t="n">
        <v>249</v>
      </c>
      <c r="D50" s="9" t="n">
        <f aca="false">ROUND(AVERAGE(C44:C50),1)</f>
        <v>263.1</v>
      </c>
      <c r="E50" s="8" t="s">
        <v>45</v>
      </c>
      <c r="F50" s="8" t="s">
        <v>61</v>
      </c>
    </row>
    <row r="51" customFormat="false" ht="15" hidden="false" customHeight="false" outlineLevel="0" collapsed="false">
      <c r="A51" s="5" t="n">
        <v>46312</v>
      </c>
      <c r="B51" s="6" t="s">
        <v>16</v>
      </c>
      <c r="C51" s="7" t="n">
        <v>222</v>
      </c>
      <c r="D51" s="9" t="n">
        <f aca="false">ROUND(AVERAGE(C45:C51),1)</f>
        <v>267.7</v>
      </c>
      <c r="E51" s="8" t="s">
        <v>45</v>
      </c>
      <c r="F51" s="8" t="s">
        <v>62</v>
      </c>
    </row>
    <row r="52" customFormat="false" ht="15" hidden="false" customHeight="false" outlineLevel="0" collapsed="false">
      <c r="A52" s="5" t="n">
        <v>46313</v>
      </c>
      <c r="B52" s="6" t="s">
        <v>18</v>
      </c>
      <c r="C52" s="7" t="n">
        <v>283</v>
      </c>
      <c r="D52" s="9" t="n">
        <f aca="false">ROUND(AVERAGE(C46:C52),1)</f>
        <v>277.9</v>
      </c>
      <c r="E52" s="8" t="s">
        <v>45</v>
      </c>
      <c r="F52" s="8" t="s">
        <v>63</v>
      </c>
    </row>
    <row r="53" customFormat="false" ht="15" hidden="false" customHeight="false" outlineLevel="0" collapsed="false">
      <c r="A53" s="5" t="n">
        <v>46314</v>
      </c>
      <c r="B53" s="6" t="s">
        <v>7</v>
      </c>
      <c r="C53" s="7" t="n">
        <v>294</v>
      </c>
      <c r="D53" s="9" t="n">
        <f aca="false">ROUND(AVERAGE(C47:C53),1)</f>
        <v>276.9</v>
      </c>
      <c r="E53" s="8" t="s">
        <v>45</v>
      </c>
      <c r="F53" s="8" t="s">
        <v>64</v>
      </c>
    </row>
    <row r="54" customFormat="false" ht="15" hidden="false" customHeight="false" outlineLevel="0" collapsed="false">
      <c r="A54" s="5" t="n">
        <v>46315</v>
      </c>
      <c r="B54" s="6" t="s">
        <v>21</v>
      </c>
      <c r="C54" s="7" t="n">
        <v>320</v>
      </c>
      <c r="D54" s="9" t="n">
        <f aca="false">ROUND(AVERAGE(C48:C54),1)</f>
        <v>279.7</v>
      </c>
      <c r="E54" s="8" t="s">
        <v>45</v>
      </c>
      <c r="F54" s="8" t="s">
        <v>65</v>
      </c>
    </row>
    <row r="55" customFormat="false" ht="15" hidden="false" customHeight="false" outlineLevel="0" collapsed="false">
      <c r="A55" s="5" t="n">
        <v>46316</v>
      </c>
      <c r="B55" s="6" t="s">
        <v>9</v>
      </c>
      <c r="C55" s="7" t="n">
        <v>304</v>
      </c>
      <c r="D55" s="9" t="n">
        <f aca="false">ROUND(AVERAGE(C49:C55),1)</f>
        <v>277.7</v>
      </c>
      <c r="E55" s="8" t="s">
        <v>45</v>
      </c>
      <c r="F55" s="8" t="s">
        <v>66</v>
      </c>
    </row>
    <row r="56" customFormat="false" ht="15" hidden="false" customHeight="false" outlineLevel="0" collapsed="false">
      <c r="A56" s="5" t="n">
        <v>46317</v>
      </c>
      <c r="B56" s="6" t="s">
        <v>12</v>
      </c>
      <c r="C56" s="7" t="n">
        <v>289</v>
      </c>
      <c r="D56" s="9" t="n">
        <f aca="false">ROUND(AVERAGE(C50:C56),1)</f>
        <v>280.1</v>
      </c>
      <c r="E56" s="8" t="s">
        <v>45</v>
      </c>
      <c r="F56" s="8" t="s">
        <v>67</v>
      </c>
    </row>
    <row r="57" customFormat="false" ht="15" hidden="false" customHeight="false" outlineLevel="0" collapsed="false">
      <c r="A57" s="5" t="n">
        <v>46318</v>
      </c>
      <c r="B57" s="6" t="s">
        <v>14</v>
      </c>
      <c r="C57" s="7" t="n">
        <v>279</v>
      </c>
      <c r="D57" s="9" t="n">
        <f aca="false">ROUND(AVERAGE(C51:C57),1)</f>
        <v>284.4</v>
      </c>
      <c r="E57" s="8" t="s">
        <v>45</v>
      </c>
      <c r="F57" s="8" t="s">
        <v>68</v>
      </c>
    </row>
    <row r="58" customFormat="false" ht="15" hidden="false" customHeight="false" outlineLevel="0" collapsed="false">
      <c r="A58" s="5" t="n">
        <v>46319</v>
      </c>
      <c r="B58" s="6" t="s">
        <v>16</v>
      </c>
      <c r="C58" s="7" t="n">
        <v>252</v>
      </c>
      <c r="D58" s="9" t="n">
        <f aca="false">ROUND(AVERAGE(C52:C58),1)</f>
        <v>288.7</v>
      </c>
      <c r="E58" s="8" t="s">
        <v>45</v>
      </c>
      <c r="F58" s="8" t="s">
        <v>69</v>
      </c>
    </row>
    <row r="59" customFormat="false" ht="15" hidden="false" customHeight="false" outlineLevel="0" collapsed="false">
      <c r="A59" s="5" t="n">
        <v>46320</v>
      </c>
      <c r="B59" s="6" t="s">
        <v>18</v>
      </c>
      <c r="C59" s="7" t="n">
        <v>305</v>
      </c>
      <c r="D59" s="9" t="n">
        <f aca="false">ROUND(AVERAGE(C53:C59),1)</f>
        <v>291.9</v>
      </c>
      <c r="E59" s="8" t="s">
        <v>45</v>
      </c>
      <c r="F59" s="8" t="s">
        <v>70</v>
      </c>
    </row>
    <row r="60" customFormat="false" ht="15" hidden="false" customHeight="false" outlineLevel="0" collapsed="false">
      <c r="A60" s="5" t="n">
        <v>46321</v>
      </c>
      <c r="B60" s="6" t="s">
        <v>7</v>
      </c>
      <c r="C60" s="7" t="n">
        <v>310</v>
      </c>
      <c r="D60" s="9" t="n">
        <f aca="false">ROUND(AVERAGE(C54:C60),1)</f>
        <v>294.1</v>
      </c>
      <c r="E60" s="8" t="s">
        <v>45</v>
      </c>
      <c r="F60" s="8" t="s">
        <v>71</v>
      </c>
    </row>
    <row r="61" customFormat="false" ht="15" hidden="false" customHeight="false" outlineLevel="0" collapsed="false">
      <c r="A61" s="5" t="n">
        <v>46322</v>
      </c>
      <c r="B61" s="6" t="s">
        <v>21</v>
      </c>
      <c r="C61" s="7" t="n">
        <v>345</v>
      </c>
      <c r="D61" s="9" t="n">
        <f aca="false">ROUND(AVERAGE(C55:C61),1)</f>
        <v>297.7</v>
      </c>
      <c r="E61" s="8" t="s">
        <v>45</v>
      </c>
      <c r="F61" s="8" t="s">
        <v>72</v>
      </c>
    </row>
    <row r="62" customFormat="false" ht="15" hidden="false" customHeight="false" outlineLevel="0" collapsed="false">
      <c r="A62" s="5" t="n">
        <v>46323</v>
      </c>
      <c r="B62" s="6" t="s">
        <v>9</v>
      </c>
      <c r="C62" s="7" t="n">
        <v>331</v>
      </c>
      <c r="D62" s="9" t="n">
        <f aca="false">ROUND(AVERAGE(C56:C62),1)</f>
        <v>301.6</v>
      </c>
      <c r="E62" s="8" t="s">
        <v>45</v>
      </c>
      <c r="F62" s="8" t="s">
        <v>73</v>
      </c>
    </row>
    <row r="63" customFormat="false" ht="15" hidden="false" customHeight="false" outlineLevel="0" collapsed="false">
      <c r="A63" s="5" t="n">
        <v>46324</v>
      </c>
      <c r="B63" s="6" t="s">
        <v>12</v>
      </c>
      <c r="C63" s="7" t="n">
        <v>308</v>
      </c>
      <c r="D63" s="9" t="n">
        <f aca="false">ROUND(AVERAGE(C57:C63),1)</f>
        <v>304.3</v>
      </c>
      <c r="E63" s="8" t="s">
        <v>45</v>
      </c>
      <c r="F63" s="8" t="s">
        <v>74</v>
      </c>
    </row>
    <row r="64" customFormat="false" ht="15" hidden="false" customHeight="false" outlineLevel="0" collapsed="false">
      <c r="A64" s="5" t="n">
        <v>46325</v>
      </c>
      <c r="B64" s="6" t="s">
        <v>14</v>
      </c>
      <c r="C64" s="7" t="n">
        <v>291</v>
      </c>
      <c r="D64" s="9" t="n">
        <f aca="false">ROUND(AVERAGE(C58:C64),1)</f>
        <v>306</v>
      </c>
      <c r="E64" s="8" t="s">
        <v>45</v>
      </c>
      <c r="F64" s="8" t="s">
        <v>75</v>
      </c>
    </row>
    <row r="65" customFormat="false" ht="15" hidden="false" customHeight="false" outlineLevel="0" collapsed="false">
      <c r="A65" s="5" t="n">
        <v>46326</v>
      </c>
      <c r="B65" s="6" t="s">
        <v>16</v>
      </c>
      <c r="C65" s="7" t="n">
        <v>280</v>
      </c>
      <c r="D65" s="9" t="n">
        <f aca="false">ROUND(AVERAGE(C59:C65),1)</f>
        <v>310</v>
      </c>
      <c r="E65" s="8" t="s">
        <v>45</v>
      </c>
      <c r="F65" s="8" t="s">
        <v>76</v>
      </c>
    </row>
    <row r="66" customFormat="false" ht="15" hidden="false" customHeight="false" outlineLevel="0" collapsed="false">
      <c r="A66" s="5" t="n">
        <v>46327</v>
      </c>
      <c r="B66" s="6" t="s">
        <v>18</v>
      </c>
      <c r="C66" s="7" t="n">
        <v>336</v>
      </c>
      <c r="D66" s="9" t="n">
        <f aca="false">ROUND(AVERAGE(C60:C66),1)</f>
        <v>314.4</v>
      </c>
      <c r="E66" s="8" t="s">
        <v>77</v>
      </c>
      <c r="F66" s="8" t="s">
        <v>78</v>
      </c>
    </row>
    <row r="67" customFormat="false" ht="15" hidden="false" customHeight="false" outlineLevel="0" collapsed="false">
      <c r="A67" s="5" t="n">
        <v>46328</v>
      </c>
      <c r="B67" s="6" t="s">
        <v>7</v>
      </c>
      <c r="C67" s="7" t="n">
        <v>380</v>
      </c>
      <c r="D67" s="9" t="n">
        <f aca="false">ROUND(AVERAGE(C61:C67),1)</f>
        <v>324.4</v>
      </c>
      <c r="E67" s="8" t="s">
        <v>77</v>
      </c>
      <c r="F67" s="8" t="s">
        <v>79</v>
      </c>
    </row>
    <row r="68" customFormat="false" ht="15" hidden="false" customHeight="false" outlineLevel="0" collapsed="false">
      <c r="A68" s="5" t="n">
        <v>46329</v>
      </c>
      <c r="B68" s="6" t="s">
        <v>21</v>
      </c>
      <c r="C68" s="7" t="n">
        <v>380</v>
      </c>
      <c r="D68" s="9" t="n">
        <f aca="false">ROUND(AVERAGE(C62:C68),1)</f>
        <v>329.4</v>
      </c>
      <c r="E68" s="8" t="s">
        <v>77</v>
      </c>
      <c r="F68" s="8" t="s">
        <v>80</v>
      </c>
    </row>
    <row r="69" customFormat="false" ht="15" hidden="false" customHeight="false" outlineLevel="0" collapsed="false">
      <c r="A69" s="5" t="n">
        <v>46330</v>
      </c>
      <c r="B69" s="6" t="s">
        <v>9</v>
      </c>
      <c r="C69" s="7" t="n">
        <v>387</v>
      </c>
      <c r="D69" s="9" t="n">
        <f aca="false">ROUND(AVERAGE(C63:C69),1)</f>
        <v>337.4</v>
      </c>
      <c r="E69" s="8" t="s">
        <v>77</v>
      </c>
      <c r="F69" s="8" t="s">
        <v>81</v>
      </c>
    </row>
    <row r="70" customFormat="false" ht="15" hidden="false" customHeight="false" outlineLevel="0" collapsed="false">
      <c r="A70" s="5" t="n">
        <v>46331</v>
      </c>
      <c r="B70" s="6" t="s">
        <v>12</v>
      </c>
      <c r="C70" s="7" t="n">
        <v>379</v>
      </c>
      <c r="D70" s="9" t="n">
        <f aca="false">ROUND(AVERAGE(C64:C70),1)</f>
        <v>347.6</v>
      </c>
      <c r="E70" s="8" t="s">
        <v>77</v>
      </c>
      <c r="F70" s="8" t="s">
        <v>82</v>
      </c>
    </row>
    <row r="71" customFormat="false" ht="15" hidden="false" customHeight="false" outlineLevel="0" collapsed="false">
      <c r="A71" s="5" t="n">
        <v>46332</v>
      </c>
      <c r="B71" s="6" t="s">
        <v>14</v>
      </c>
      <c r="C71" s="7" t="n">
        <v>341</v>
      </c>
      <c r="D71" s="9" t="n">
        <f aca="false">ROUND(AVERAGE(C65:C71),1)</f>
        <v>354.7</v>
      </c>
      <c r="E71" s="8" t="s">
        <v>77</v>
      </c>
      <c r="F71" s="8" t="s">
        <v>83</v>
      </c>
    </row>
    <row r="72" customFormat="false" ht="15" hidden="false" customHeight="false" outlineLevel="0" collapsed="false">
      <c r="A72" s="5" t="n">
        <v>46333</v>
      </c>
      <c r="B72" s="6" t="s">
        <v>16</v>
      </c>
      <c r="C72" s="7" t="n">
        <v>306</v>
      </c>
      <c r="D72" s="9" t="n">
        <f aca="false">ROUND(AVERAGE(C66:C72),1)</f>
        <v>358.4</v>
      </c>
      <c r="E72" s="8" t="s">
        <v>77</v>
      </c>
      <c r="F72" s="8" t="s">
        <v>84</v>
      </c>
    </row>
    <row r="73" customFormat="false" ht="15" hidden="false" customHeight="false" outlineLevel="0" collapsed="false">
      <c r="A73" s="5" t="n">
        <v>46334</v>
      </c>
      <c r="B73" s="6" t="s">
        <v>18</v>
      </c>
      <c r="C73" s="7" t="n">
        <v>346</v>
      </c>
      <c r="D73" s="9" t="n">
        <f aca="false">ROUND(AVERAGE(C67:C73),1)</f>
        <v>359.9</v>
      </c>
      <c r="E73" s="8" t="s">
        <v>77</v>
      </c>
      <c r="F73" s="8" t="s">
        <v>85</v>
      </c>
    </row>
    <row r="74" customFormat="false" ht="15" hidden="false" customHeight="false" outlineLevel="0" collapsed="false">
      <c r="A74" s="5" t="n">
        <v>46335</v>
      </c>
      <c r="B74" s="6" t="s">
        <v>7</v>
      </c>
      <c r="C74" s="7" t="n">
        <v>367</v>
      </c>
      <c r="D74" s="9" t="n">
        <f aca="false">ROUND(AVERAGE(C68:C74),1)</f>
        <v>358</v>
      </c>
      <c r="E74" s="8" t="s">
        <v>77</v>
      </c>
      <c r="F74" s="8" t="s">
        <v>86</v>
      </c>
    </row>
    <row r="75" customFormat="false" ht="15" hidden="false" customHeight="false" outlineLevel="0" collapsed="false">
      <c r="A75" s="5" t="n">
        <v>46336</v>
      </c>
      <c r="B75" s="6" t="s">
        <v>21</v>
      </c>
      <c r="C75" s="7" t="n">
        <v>387</v>
      </c>
      <c r="D75" s="9" t="n">
        <f aca="false">ROUND(AVERAGE(C69:C75),1)</f>
        <v>359</v>
      </c>
      <c r="E75" s="8" t="s">
        <v>77</v>
      </c>
      <c r="F75" s="8" t="s">
        <v>87</v>
      </c>
    </row>
    <row r="76" customFormat="false" ht="15" hidden="false" customHeight="false" outlineLevel="0" collapsed="false">
      <c r="A76" s="5" t="n">
        <v>46337</v>
      </c>
      <c r="B76" s="6" t="s">
        <v>9</v>
      </c>
      <c r="C76" s="7" t="n">
        <v>387</v>
      </c>
      <c r="D76" s="9" t="n">
        <f aca="false">ROUND(AVERAGE(C70:C76),1)</f>
        <v>359</v>
      </c>
      <c r="E76" s="8" t="s">
        <v>77</v>
      </c>
      <c r="F76" s="8" t="s">
        <v>88</v>
      </c>
    </row>
    <row r="77" customFormat="false" ht="15" hidden="false" customHeight="false" outlineLevel="0" collapsed="false">
      <c r="A77" s="5" t="n">
        <v>46338</v>
      </c>
      <c r="B77" s="6" t="s">
        <v>12</v>
      </c>
      <c r="C77" s="7" t="n">
        <v>362</v>
      </c>
      <c r="D77" s="9" t="n">
        <f aca="false">ROUND(AVERAGE(C71:C77),1)</f>
        <v>356.6</v>
      </c>
      <c r="E77" s="8" t="s">
        <v>77</v>
      </c>
      <c r="F77" s="8" t="s">
        <v>89</v>
      </c>
    </row>
    <row r="78" customFormat="false" ht="15" hidden="false" customHeight="false" outlineLevel="0" collapsed="false">
      <c r="A78" s="5" t="n">
        <v>46339</v>
      </c>
      <c r="B78" s="6" t="s">
        <v>14</v>
      </c>
      <c r="C78" s="7" t="n">
        <v>358</v>
      </c>
      <c r="D78" s="9" t="n">
        <f aca="false">ROUND(AVERAGE(C72:C78),1)</f>
        <v>359</v>
      </c>
      <c r="E78" s="8" t="s">
        <v>77</v>
      </c>
      <c r="F78" s="8" t="s">
        <v>90</v>
      </c>
    </row>
    <row r="79" customFormat="false" ht="15" hidden="false" customHeight="false" outlineLevel="0" collapsed="false">
      <c r="A79" s="5" t="n">
        <v>46340</v>
      </c>
      <c r="B79" s="6" t="s">
        <v>16</v>
      </c>
      <c r="C79" s="7" t="n">
        <v>351</v>
      </c>
      <c r="D79" s="9" t="n">
        <f aca="false">ROUND(AVERAGE(C73:C79),1)</f>
        <v>365.4</v>
      </c>
      <c r="E79" s="8" t="s">
        <v>77</v>
      </c>
      <c r="F79" s="8" t="s">
        <v>91</v>
      </c>
    </row>
    <row r="80" customFormat="false" ht="15" hidden="false" customHeight="false" outlineLevel="0" collapsed="false">
      <c r="A80" s="5" t="n">
        <v>46341</v>
      </c>
      <c r="B80" s="6" t="s">
        <v>18</v>
      </c>
      <c r="C80" s="7" t="n">
        <v>388</v>
      </c>
      <c r="D80" s="9" t="n">
        <f aca="false">ROUND(AVERAGE(C74:C80),1)</f>
        <v>371.4</v>
      </c>
      <c r="E80" s="8" t="s">
        <v>77</v>
      </c>
      <c r="F80" s="8" t="s">
        <v>92</v>
      </c>
    </row>
    <row r="81" customFormat="false" ht="15" hidden="false" customHeight="false" outlineLevel="0" collapsed="false">
      <c r="A81" s="5" t="n">
        <v>46342</v>
      </c>
      <c r="B81" s="6" t="s">
        <v>7</v>
      </c>
      <c r="C81" s="7" t="n">
        <v>415</v>
      </c>
      <c r="D81" s="9" t="n">
        <f aca="false">ROUND(AVERAGE(C75:C81),1)</f>
        <v>378.3</v>
      </c>
      <c r="E81" s="8" t="s">
        <v>77</v>
      </c>
      <c r="F81" s="8" t="s">
        <v>93</v>
      </c>
    </row>
    <row r="82" customFormat="false" ht="15" hidden="false" customHeight="false" outlineLevel="0" collapsed="false">
      <c r="A82" s="5" t="n">
        <v>46343</v>
      </c>
      <c r="B82" s="6" t="s">
        <v>21</v>
      </c>
      <c r="C82" s="7" t="n">
        <v>429</v>
      </c>
      <c r="D82" s="9" t="n">
        <f aca="false">ROUND(AVERAGE(C76:C82),1)</f>
        <v>384.3</v>
      </c>
      <c r="E82" s="8" t="s">
        <v>77</v>
      </c>
      <c r="F82" s="8" t="s">
        <v>94</v>
      </c>
    </row>
    <row r="83" customFormat="false" ht="15" hidden="false" customHeight="false" outlineLevel="0" collapsed="false">
      <c r="A83" s="5" t="n">
        <v>46344</v>
      </c>
      <c r="B83" s="6" t="s">
        <v>9</v>
      </c>
      <c r="C83" s="7" t="n">
        <v>407</v>
      </c>
      <c r="D83" s="9" t="n">
        <f aca="false">ROUND(AVERAGE(C77:C83),1)</f>
        <v>387.1</v>
      </c>
      <c r="E83" s="8" t="s">
        <v>77</v>
      </c>
      <c r="F83" s="8" t="s">
        <v>95</v>
      </c>
    </row>
    <row r="84" customFormat="false" ht="15" hidden="false" customHeight="false" outlineLevel="0" collapsed="false">
      <c r="A84" s="5" t="n">
        <v>46345</v>
      </c>
      <c r="B84" s="6" t="s">
        <v>12</v>
      </c>
      <c r="C84" s="7" t="n">
        <v>368</v>
      </c>
      <c r="D84" s="9" t="n">
        <f aca="false">ROUND(AVERAGE(C78:C84),1)</f>
        <v>388</v>
      </c>
      <c r="E84" s="8" t="s">
        <v>77</v>
      </c>
      <c r="F84" s="8" t="s">
        <v>96</v>
      </c>
    </row>
    <row r="85" customFormat="false" ht="15" hidden="false" customHeight="false" outlineLevel="0" collapsed="false">
      <c r="A85" s="5" t="n">
        <v>46346</v>
      </c>
      <c r="B85" s="6" t="s">
        <v>14</v>
      </c>
      <c r="C85" s="7" t="n">
        <v>335</v>
      </c>
      <c r="D85" s="9" t="n">
        <f aca="false">ROUND(AVERAGE(C79:C85),1)</f>
        <v>384.7</v>
      </c>
      <c r="E85" s="8" t="s">
        <v>77</v>
      </c>
      <c r="F85" s="8" t="s">
        <v>97</v>
      </c>
    </row>
    <row r="86" customFormat="false" ht="15" hidden="false" customHeight="false" outlineLevel="0" collapsed="false">
      <c r="A86" s="5" t="n">
        <v>46347</v>
      </c>
      <c r="B86" s="6" t="s">
        <v>16</v>
      </c>
      <c r="C86" s="7" t="n">
        <v>282</v>
      </c>
      <c r="D86" s="9" t="n">
        <f aca="false">ROUND(AVERAGE(C80:C86),1)</f>
        <v>374.9</v>
      </c>
      <c r="E86" s="8" t="s">
        <v>77</v>
      </c>
      <c r="F86" s="8" t="s">
        <v>98</v>
      </c>
    </row>
    <row r="87" customFormat="false" ht="15" hidden="false" customHeight="false" outlineLevel="0" collapsed="false">
      <c r="A87" s="5" t="n">
        <v>46348</v>
      </c>
      <c r="B87" s="6" t="s">
        <v>18</v>
      </c>
      <c r="C87" s="7" t="n">
        <v>315</v>
      </c>
      <c r="D87" s="9" t="n">
        <f aca="false">ROUND(AVERAGE(C81:C87),1)</f>
        <v>364.4</v>
      </c>
      <c r="E87" s="8" t="s">
        <v>77</v>
      </c>
      <c r="F87" s="8" t="s">
        <v>99</v>
      </c>
    </row>
    <row r="88" customFormat="false" ht="15" hidden="false" customHeight="false" outlineLevel="0" collapsed="false">
      <c r="A88" s="5" t="n">
        <v>46349</v>
      </c>
      <c r="B88" s="6" t="s">
        <v>7</v>
      </c>
      <c r="C88" s="7" t="n">
        <v>368</v>
      </c>
      <c r="D88" s="9" t="n">
        <f aca="false">ROUND(AVERAGE(C82:C88),1)</f>
        <v>357.7</v>
      </c>
      <c r="E88" s="8" t="s">
        <v>77</v>
      </c>
      <c r="F88" s="8" t="s">
        <v>100</v>
      </c>
    </row>
    <row r="89" customFormat="false" ht="15" hidden="false" customHeight="false" outlineLevel="0" collapsed="false">
      <c r="A89" s="5" t="n">
        <v>46350</v>
      </c>
      <c r="B89" s="6" t="s">
        <v>21</v>
      </c>
      <c r="C89" s="7" t="n">
        <v>392</v>
      </c>
      <c r="D89" s="9" t="n">
        <f aca="false">ROUND(AVERAGE(C83:C89),1)</f>
        <v>352.4</v>
      </c>
      <c r="E89" s="8" t="s">
        <v>77</v>
      </c>
      <c r="F89" s="8" t="s">
        <v>101</v>
      </c>
    </row>
    <row r="90" customFormat="false" ht="15" hidden="false" customHeight="false" outlineLevel="0" collapsed="false">
      <c r="A90" s="5" t="n">
        <v>46351</v>
      </c>
      <c r="B90" s="6" t="s">
        <v>9</v>
      </c>
      <c r="C90" s="7" t="n">
        <v>408</v>
      </c>
      <c r="D90" s="9" t="n">
        <f aca="false">ROUND(AVERAGE(C84:C90),1)</f>
        <v>352.6</v>
      </c>
      <c r="E90" s="8" t="s">
        <v>77</v>
      </c>
      <c r="F90" s="8" t="s">
        <v>102</v>
      </c>
    </row>
    <row r="91" customFormat="false" ht="15" hidden="false" customHeight="false" outlineLevel="0" collapsed="false">
      <c r="A91" s="5" t="n">
        <v>46352</v>
      </c>
      <c r="B91" s="6" t="s">
        <v>12</v>
      </c>
      <c r="C91" s="7" t="n">
        <v>408</v>
      </c>
      <c r="D91" s="9" t="n">
        <f aca="false">ROUND(AVERAGE(C85:C91),1)</f>
        <v>358.3</v>
      </c>
      <c r="E91" s="8" t="s">
        <v>77</v>
      </c>
      <c r="F91" s="8" t="s">
        <v>103</v>
      </c>
    </row>
    <row r="92" customFormat="false" ht="15" hidden="false" customHeight="false" outlineLevel="0" collapsed="false">
      <c r="A92" s="5" t="n">
        <v>46353</v>
      </c>
      <c r="B92" s="6" t="s">
        <v>14</v>
      </c>
      <c r="C92" s="7" t="n">
        <v>385</v>
      </c>
      <c r="D92" s="9" t="n">
        <f aca="false">ROUND(AVERAGE(C86:C92),1)</f>
        <v>365.4</v>
      </c>
      <c r="E92" s="8" t="s">
        <v>77</v>
      </c>
      <c r="F92" s="8" t="s">
        <v>104</v>
      </c>
    </row>
    <row r="93" customFormat="false" ht="15" hidden="false" customHeight="false" outlineLevel="0" collapsed="false">
      <c r="A93" s="5" t="n">
        <v>46354</v>
      </c>
      <c r="B93" s="6" t="s">
        <v>16</v>
      </c>
      <c r="C93" s="7" t="n">
        <v>369</v>
      </c>
      <c r="D93" s="9" t="n">
        <f aca="false">ROUND(AVERAGE(C87:C93),1)</f>
        <v>377.9</v>
      </c>
      <c r="E93" s="8" t="s">
        <v>77</v>
      </c>
      <c r="F93" s="8" t="s">
        <v>105</v>
      </c>
    </row>
    <row r="94" customFormat="false" ht="15" hidden="false" customHeight="false" outlineLevel="0" collapsed="false">
      <c r="A94" s="5" t="n">
        <v>46355</v>
      </c>
      <c r="B94" s="6" t="s">
        <v>18</v>
      </c>
      <c r="C94" s="7" t="n">
        <v>428</v>
      </c>
      <c r="D94" s="9" t="n">
        <f aca="false">ROUND(AVERAGE(C88:C94),1)</f>
        <v>394</v>
      </c>
      <c r="E94" s="8" t="s">
        <v>77</v>
      </c>
      <c r="F94" s="8" t="s">
        <v>106</v>
      </c>
    </row>
    <row r="95" customFormat="false" ht="15" hidden="false" customHeight="false" outlineLevel="0" collapsed="false">
      <c r="A95" s="5" t="n">
        <v>46356</v>
      </c>
      <c r="B95" s="6" t="s">
        <v>7</v>
      </c>
      <c r="C95" s="7" t="n">
        <v>473</v>
      </c>
      <c r="D95" s="9" t="n">
        <f aca="false">ROUND(AVERAGE(C89:C95),1)</f>
        <v>409</v>
      </c>
      <c r="E95" s="8" t="s">
        <v>77</v>
      </c>
      <c r="F95" s="8" t="s">
        <v>107</v>
      </c>
    </row>
    <row r="96" customFormat="false" ht="15" hidden="false" customHeight="false" outlineLevel="0" collapsed="false">
      <c r="A96" s="5" t="n">
        <v>46357</v>
      </c>
      <c r="B96" s="6" t="s">
        <v>21</v>
      </c>
      <c r="C96" s="7" t="n">
        <v>466</v>
      </c>
      <c r="D96" s="9" t="n">
        <f aca="false">ROUND(AVERAGE(C90:C96),1)</f>
        <v>419.6</v>
      </c>
      <c r="E96" s="8" t="s">
        <v>108</v>
      </c>
      <c r="F96" s="8" t="s">
        <v>109</v>
      </c>
    </row>
    <row r="97" customFormat="false" ht="15" hidden="false" customHeight="false" outlineLevel="0" collapsed="false">
      <c r="A97" s="5" t="n">
        <v>46358</v>
      </c>
      <c r="B97" s="6" t="s">
        <v>9</v>
      </c>
      <c r="C97" s="7" t="n">
        <v>448</v>
      </c>
      <c r="D97" s="9" t="n">
        <f aca="false">ROUND(AVERAGE(C91:C97),1)</f>
        <v>425.3</v>
      </c>
      <c r="E97" s="8" t="s">
        <v>108</v>
      </c>
      <c r="F97" s="8" t="s">
        <v>110</v>
      </c>
    </row>
    <row r="98" customFormat="false" ht="15" hidden="false" customHeight="false" outlineLevel="0" collapsed="false">
      <c r="A98" s="5" t="n">
        <v>46359</v>
      </c>
      <c r="B98" s="6" t="s">
        <v>12</v>
      </c>
      <c r="C98" s="7" t="n">
        <v>436</v>
      </c>
      <c r="D98" s="9" t="n">
        <f aca="false">ROUND(AVERAGE(C92:C98),1)</f>
        <v>429.3</v>
      </c>
      <c r="E98" s="8" t="s">
        <v>108</v>
      </c>
      <c r="F98" s="8" t="s">
        <v>111</v>
      </c>
    </row>
    <row r="99" customFormat="false" ht="15" hidden="false" customHeight="false" outlineLevel="0" collapsed="false">
      <c r="A99" s="5" t="n">
        <v>46360</v>
      </c>
      <c r="B99" s="6" t="s">
        <v>14</v>
      </c>
      <c r="C99" s="7" t="n">
        <v>439</v>
      </c>
      <c r="D99" s="9" t="n">
        <f aca="false">ROUND(AVERAGE(C93:C99),1)</f>
        <v>437</v>
      </c>
      <c r="E99" s="8" t="s">
        <v>108</v>
      </c>
      <c r="F99" s="8" t="s">
        <v>112</v>
      </c>
    </row>
    <row r="100" customFormat="false" ht="15" hidden="false" customHeight="false" outlineLevel="0" collapsed="false">
      <c r="A100" s="5" t="n">
        <v>46361</v>
      </c>
      <c r="B100" s="6" t="s">
        <v>16</v>
      </c>
      <c r="C100" s="7" t="n">
        <v>446</v>
      </c>
      <c r="D100" s="9" t="n">
        <f aca="false">ROUND(AVERAGE(C94:C100),1)</f>
        <v>448</v>
      </c>
      <c r="E100" s="8" t="s">
        <v>108</v>
      </c>
      <c r="F100" s="8" t="s">
        <v>113</v>
      </c>
    </row>
    <row r="101" customFormat="false" ht="15" hidden="false" customHeight="false" outlineLevel="0" collapsed="false">
      <c r="A101" s="5" t="n">
        <v>46362</v>
      </c>
      <c r="B101" s="6" t="s">
        <v>18</v>
      </c>
      <c r="C101" s="7" t="n">
        <v>477</v>
      </c>
      <c r="D101" s="9" t="n">
        <f aca="false">ROUND(AVERAGE(C95:C101),1)</f>
        <v>455</v>
      </c>
      <c r="E101" s="8" t="s">
        <v>108</v>
      </c>
      <c r="F101" s="8" t="s">
        <v>114</v>
      </c>
    </row>
    <row r="102" customFormat="false" ht="15" hidden="false" customHeight="false" outlineLevel="0" collapsed="false">
      <c r="A102" s="5" t="n">
        <v>46363</v>
      </c>
      <c r="B102" s="6" t="s">
        <v>7</v>
      </c>
      <c r="C102" s="7" t="n">
        <v>491</v>
      </c>
      <c r="D102" s="9" t="n">
        <f aca="false">ROUND(AVERAGE(C96:C102),1)</f>
        <v>457.6</v>
      </c>
      <c r="E102" s="8" t="s">
        <v>108</v>
      </c>
      <c r="F102" s="8" t="s">
        <v>115</v>
      </c>
    </row>
    <row r="103" customFormat="false" ht="15" hidden="false" customHeight="false" outlineLevel="0" collapsed="false">
      <c r="A103" s="5" t="n">
        <v>46364</v>
      </c>
      <c r="B103" s="6" t="s">
        <v>21</v>
      </c>
      <c r="C103" s="7" t="n">
        <v>498</v>
      </c>
      <c r="D103" s="9" t="n">
        <f aca="false">ROUND(AVERAGE(C97:C103),1)</f>
        <v>462.1</v>
      </c>
      <c r="E103" s="8" t="s">
        <v>108</v>
      </c>
      <c r="F103" s="8" t="s">
        <v>116</v>
      </c>
    </row>
    <row r="104" customFormat="false" ht="15" hidden="false" customHeight="false" outlineLevel="0" collapsed="false">
      <c r="A104" s="5" t="n">
        <v>46365</v>
      </c>
      <c r="B104" s="6" t="s">
        <v>9</v>
      </c>
      <c r="C104" s="7" t="n">
        <v>488</v>
      </c>
      <c r="D104" s="9" t="n">
        <f aca="false">ROUND(AVERAGE(C98:C104),1)</f>
        <v>467.9</v>
      </c>
      <c r="E104" s="8" t="s">
        <v>108</v>
      </c>
      <c r="F104" s="8" t="s">
        <v>117</v>
      </c>
    </row>
    <row r="105" customFormat="false" ht="15" hidden="false" customHeight="false" outlineLevel="0" collapsed="false">
      <c r="A105" s="5" t="n">
        <v>46366</v>
      </c>
      <c r="B105" s="6" t="s">
        <v>12</v>
      </c>
      <c r="C105" s="7" t="n">
        <v>478</v>
      </c>
      <c r="D105" s="9" t="n">
        <f aca="false">ROUND(AVERAGE(C99:C105),1)</f>
        <v>473.9</v>
      </c>
      <c r="E105" s="8" t="s">
        <v>108</v>
      </c>
      <c r="F105" s="8" t="s">
        <v>118</v>
      </c>
    </row>
    <row r="106" customFormat="false" ht="15" hidden="false" customHeight="false" outlineLevel="0" collapsed="false">
      <c r="A106" s="5" t="n">
        <v>46367</v>
      </c>
      <c r="B106" s="6" t="s">
        <v>14</v>
      </c>
      <c r="C106" s="7" t="n">
        <v>470</v>
      </c>
      <c r="D106" s="9" t="n">
        <f aca="false">ROUND(AVERAGE(C100:C106),1)</f>
        <v>478.3</v>
      </c>
      <c r="E106" s="8" t="s">
        <v>108</v>
      </c>
      <c r="F106" s="8" t="s">
        <v>119</v>
      </c>
    </row>
    <row r="107" customFormat="false" ht="15" hidden="false" customHeight="false" outlineLevel="0" collapsed="false">
      <c r="A107" s="5" t="n">
        <v>46368</v>
      </c>
      <c r="B107" s="6" t="s">
        <v>16</v>
      </c>
      <c r="C107" s="7" t="n">
        <v>461</v>
      </c>
      <c r="D107" s="9" t="n">
        <f aca="false">ROUND(AVERAGE(C101:C107),1)</f>
        <v>480.4</v>
      </c>
      <c r="E107" s="8" t="s">
        <v>108</v>
      </c>
      <c r="F107" s="8" t="s">
        <v>120</v>
      </c>
    </row>
    <row r="108" customFormat="false" ht="15" hidden="false" customHeight="false" outlineLevel="0" collapsed="false">
      <c r="A108" s="5" t="n">
        <v>46369</v>
      </c>
      <c r="B108" s="6" t="s">
        <v>18</v>
      </c>
      <c r="C108" s="7" t="n">
        <v>494</v>
      </c>
      <c r="D108" s="9" t="n">
        <f aca="false">ROUND(AVERAGE(C102:C108),1)</f>
        <v>482.9</v>
      </c>
      <c r="E108" s="8" t="s">
        <v>108</v>
      </c>
      <c r="F108" s="8" t="s">
        <v>121</v>
      </c>
    </row>
    <row r="109" customFormat="false" ht="15" hidden="false" customHeight="false" outlineLevel="0" collapsed="false">
      <c r="A109" s="5" t="n">
        <v>46370</v>
      </c>
      <c r="B109" s="6" t="s">
        <v>7</v>
      </c>
      <c r="C109" s="7" t="n">
        <v>487</v>
      </c>
      <c r="D109" s="9" t="n">
        <f aca="false">ROUND(AVERAGE(C103:C109),1)</f>
        <v>482.3</v>
      </c>
      <c r="E109" s="8" t="s">
        <v>108</v>
      </c>
      <c r="F109" s="8" t="s">
        <v>122</v>
      </c>
    </row>
    <row r="110" customFormat="false" ht="15" hidden="false" customHeight="false" outlineLevel="0" collapsed="false">
      <c r="A110" s="5" t="n">
        <v>46371</v>
      </c>
      <c r="B110" s="6" t="s">
        <v>21</v>
      </c>
      <c r="C110" s="7" t="n">
        <v>489</v>
      </c>
      <c r="D110" s="9" t="n">
        <f aca="false">ROUND(AVERAGE(C104:C110),1)</f>
        <v>481</v>
      </c>
      <c r="E110" s="8" t="s">
        <v>108</v>
      </c>
      <c r="F110" s="8" t="s">
        <v>123</v>
      </c>
    </row>
    <row r="111" customFormat="false" ht="15" hidden="false" customHeight="false" outlineLevel="0" collapsed="false">
      <c r="A111" s="5" t="n">
        <v>46372</v>
      </c>
      <c r="B111" s="6" t="s">
        <v>9</v>
      </c>
      <c r="C111" s="7" t="n">
        <v>478</v>
      </c>
      <c r="D111" s="9" t="n">
        <f aca="false">ROUND(AVERAGE(C105:C111),1)</f>
        <v>479.6</v>
      </c>
      <c r="E111" s="8" t="s">
        <v>108</v>
      </c>
      <c r="F111" s="8" t="s">
        <v>124</v>
      </c>
    </row>
    <row r="112" customFormat="false" ht="15" hidden="false" customHeight="false" outlineLevel="0" collapsed="false">
      <c r="A112" s="5" t="n">
        <v>46373</v>
      </c>
      <c r="B112" s="6" t="s">
        <v>12</v>
      </c>
      <c r="C112" s="7" t="n">
        <v>483</v>
      </c>
      <c r="D112" s="9" t="n">
        <f aca="false">ROUND(AVERAGE(C106:C112),1)</f>
        <v>480.3</v>
      </c>
      <c r="E112" s="8" t="s">
        <v>108</v>
      </c>
      <c r="F112" s="8" t="s">
        <v>125</v>
      </c>
    </row>
    <row r="113" customFormat="false" ht="15" hidden="false" customHeight="false" outlineLevel="0" collapsed="false">
      <c r="A113" s="5" t="n">
        <v>46374</v>
      </c>
      <c r="B113" s="6" t="s">
        <v>14</v>
      </c>
      <c r="C113" s="7" t="n">
        <v>469</v>
      </c>
      <c r="D113" s="9" t="n">
        <f aca="false">ROUND(AVERAGE(C107:C113),1)</f>
        <v>480.1</v>
      </c>
      <c r="E113" s="8" t="s">
        <v>108</v>
      </c>
      <c r="F113" s="8" t="s">
        <v>126</v>
      </c>
    </row>
    <row r="114" customFormat="false" ht="15" hidden="false" customHeight="false" outlineLevel="0" collapsed="false">
      <c r="A114" s="5" t="n">
        <v>46375</v>
      </c>
      <c r="B114" s="6" t="s">
        <v>16</v>
      </c>
      <c r="C114" s="7" t="n">
        <v>433</v>
      </c>
      <c r="D114" s="9" t="n">
        <f aca="false">ROUND(AVERAGE(C108:C114),1)</f>
        <v>476.1</v>
      </c>
      <c r="E114" s="8" t="s">
        <v>108</v>
      </c>
      <c r="F114" s="8" t="s">
        <v>127</v>
      </c>
    </row>
    <row r="115" customFormat="false" ht="15" hidden="false" customHeight="false" outlineLevel="0" collapsed="false">
      <c r="A115" s="5" t="n">
        <v>46376</v>
      </c>
      <c r="B115" s="6" t="s">
        <v>18</v>
      </c>
      <c r="C115" s="7" t="n">
        <v>443</v>
      </c>
      <c r="D115" s="9" t="n">
        <f aca="false">ROUND(AVERAGE(C109:C115),1)</f>
        <v>468.9</v>
      </c>
      <c r="E115" s="8" t="s">
        <v>108</v>
      </c>
      <c r="F115" s="8" t="s">
        <v>128</v>
      </c>
    </row>
    <row r="116" customFormat="false" ht="15" hidden="false" customHeight="false" outlineLevel="0" collapsed="false">
      <c r="A116" s="5" t="n">
        <v>46377</v>
      </c>
      <c r="B116" s="6" t="s">
        <v>7</v>
      </c>
      <c r="C116" s="7" t="n">
        <v>445</v>
      </c>
      <c r="D116" s="9" t="n">
        <f aca="false">ROUND(AVERAGE(C110:C116),1)</f>
        <v>462.9</v>
      </c>
      <c r="E116" s="8" t="s">
        <v>108</v>
      </c>
      <c r="F116" s="8" t="s">
        <v>129</v>
      </c>
    </row>
    <row r="117" customFormat="false" ht="15" hidden="false" customHeight="false" outlineLevel="0" collapsed="false">
      <c r="A117" s="5" t="n">
        <v>46378</v>
      </c>
      <c r="B117" s="6" t="s">
        <v>21</v>
      </c>
      <c r="C117" s="7" t="n">
        <v>447</v>
      </c>
      <c r="D117" s="9" t="n">
        <f aca="false">ROUND(AVERAGE(C111:C117),1)</f>
        <v>456.9</v>
      </c>
      <c r="E117" s="8" t="s">
        <v>108</v>
      </c>
      <c r="F117" s="8" t="s">
        <v>130</v>
      </c>
    </row>
    <row r="118" customFormat="false" ht="15" hidden="false" customHeight="false" outlineLevel="0" collapsed="false">
      <c r="A118" s="5" t="n">
        <v>46379</v>
      </c>
      <c r="B118" s="6" t="s">
        <v>9</v>
      </c>
      <c r="C118" s="7" t="n">
        <v>430</v>
      </c>
      <c r="D118" s="9" t="n">
        <f aca="false">ROUND(AVERAGE(C112:C118),1)</f>
        <v>450</v>
      </c>
      <c r="E118" s="8" t="s">
        <v>108</v>
      </c>
      <c r="F118" s="8" t="s">
        <v>131</v>
      </c>
    </row>
    <row r="119" customFormat="false" ht="15" hidden="false" customHeight="false" outlineLevel="0" collapsed="false">
      <c r="A119" s="5" t="n">
        <v>46380</v>
      </c>
      <c r="B119" s="6" t="s">
        <v>12</v>
      </c>
      <c r="C119" s="7" t="n">
        <v>424</v>
      </c>
      <c r="D119" s="9" t="n">
        <f aca="false">ROUND(AVERAGE(C113:C119),1)</f>
        <v>441.6</v>
      </c>
      <c r="E119" s="8" t="s">
        <v>108</v>
      </c>
      <c r="F119" s="8" t="s">
        <v>132</v>
      </c>
    </row>
    <row r="120" customFormat="false" ht="15" hidden="false" customHeight="false" outlineLevel="0" collapsed="false">
      <c r="A120" s="5" t="n">
        <v>46381</v>
      </c>
      <c r="B120" s="6" t="s">
        <v>14</v>
      </c>
      <c r="C120" s="7" t="n">
        <v>388</v>
      </c>
      <c r="D120" s="9" t="n">
        <f aca="false">ROUND(AVERAGE(C114:C120),1)</f>
        <v>430</v>
      </c>
      <c r="E120" s="8" t="s">
        <v>108</v>
      </c>
      <c r="F120" s="8" t="s">
        <v>133</v>
      </c>
    </row>
    <row r="121" customFormat="false" ht="15" hidden="false" customHeight="false" outlineLevel="0" collapsed="false">
      <c r="A121" s="5" t="n">
        <v>46382</v>
      </c>
      <c r="B121" s="6" t="s">
        <v>16</v>
      </c>
      <c r="C121" s="7" t="n">
        <v>359</v>
      </c>
      <c r="D121" s="9" t="n">
        <f aca="false">ROUND(AVERAGE(C115:C121),1)</f>
        <v>419.4</v>
      </c>
      <c r="E121" s="8" t="s">
        <v>108</v>
      </c>
      <c r="F121" s="8" t="s">
        <v>134</v>
      </c>
    </row>
    <row r="122" customFormat="false" ht="15" hidden="false" customHeight="false" outlineLevel="0" collapsed="false">
      <c r="A122" s="5" t="n">
        <v>46383</v>
      </c>
      <c r="B122" s="6" t="s">
        <v>18</v>
      </c>
      <c r="C122" s="7" t="n">
        <v>336</v>
      </c>
      <c r="D122" s="9" t="n">
        <f aca="false">ROUND(AVERAGE(C116:C122),1)</f>
        <v>404.1</v>
      </c>
      <c r="E122" s="8" t="s">
        <v>108</v>
      </c>
      <c r="F122" s="8" t="s">
        <v>135</v>
      </c>
    </row>
    <row r="123" customFormat="false" ht="15" hidden="false" customHeight="false" outlineLevel="0" collapsed="false">
      <c r="A123" s="5" t="n">
        <v>46384</v>
      </c>
      <c r="B123" s="6" t="s">
        <v>7</v>
      </c>
      <c r="C123" s="7" t="n">
        <v>317</v>
      </c>
      <c r="D123" s="9" t="n">
        <f aca="false">ROUND(AVERAGE(C117:C123),1)</f>
        <v>385.9</v>
      </c>
      <c r="E123" s="8" t="s">
        <v>108</v>
      </c>
      <c r="F123" s="8" t="s">
        <v>136</v>
      </c>
    </row>
    <row r="124" customFormat="false" ht="15" hidden="false" customHeight="false" outlineLevel="0" collapsed="false">
      <c r="A124" s="5" t="n">
        <v>46385</v>
      </c>
      <c r="B124" s="6" t="s">
        <v>21</v>
      </c>
      <c r="C124" s="7" t="n">
        <v>297</v>
      </c>
      <c r="D124" s="9" t="n">
        <f aca="false">ROUND(AVERAGE(C118:C124),1)</f>
        <v>364.4</v>
      </c>
      <c r="E124" s="8" t="s">
        <v>108</v>
      </c>
      <c r="F124" s="8" t="s">
        <v>137</v>
      </c>
    </row>
    <row r="125" customFormat="false" ht="15" hidden="false" customHeight="false" outlineLevel="0" collapsed="false">
      <c r="A125" s="5" t="n">
        <v>46386</v>
      </c>
      <c r="B125" s="6" t="s">
        <v>9</v>
      </c>
      <c r="C125" s="7" t="n">
        <v>288</v>
      </c>
      <c r="D125" s="9" t="n">
        <f aca="false">ROUND(AVERAGE(C119:C125),1)</f>
        <v>344.1</v>
      </c>
      <c r="E125" s="8" t="s">
        <v>108</v>
      </c>
      <c r="F125" s="8" t="s">
        <v>138</v>
      </c>
    </row>
    <row r="126" customFormat="false" ht="15" hidden="false" customHeight="false" outlineLevel="0" collapsed="false">
      <c r="A126" s="5" t="n">
        <v>46387</v>
      </c>
      <c r="B126" s="6" t="s">
        <v>12</v>
      </c>
      <c r="C126" s="7" t="n">
        <v>284</v>
      </c>
      <c r="D126" s="9" t="n">
        <f aca="false">ROUND(AVERAGE(C120:C126),1)</f>
        <v>324.1</v>
      </c>
      <c r="E126" s="8" t="s">
        <v>108</v>
      </c>
      <c r="F126" s="8" t="s">
        <v>139</v>
      </c>
    </row>
    <row r="127" customFormat="false" ht="15" hidden="false" customHeight="false" outlineLevel="0" collapsed="false">
      <c r="A127" s="5" t="n">
        <v>46388</v>
      </c>
      <c r="B127" s="6" t="s">
        <v>14</v>
      </c>
      <c r="C127" s="7" t="n">
        <v>317</v>
      </c>
      <c r="D127" s="9" t="n">
        <f aca="false">ROUND(AVERAGE(C121:C127),1)</f>
        <v>314</v>
      </c>
      <c r="E127" s="8" t="s">
        <v>140</v>
      </c>
      <c r="F127" s="8" t="s">
        <v>141</v>
      </c>
    </row>
    <row r="128" customFormat="false" ht="15" hidden="false" customHeight="false" outlineLevel="0" collapsed="false">
      <c r="A128" s="5" t="n">
        <v>46389</v>
      </c>
      <c r="B128" s="6" t="s">
        <v>16</v>
      </c>
      <c r="C128" s="7" t="n">
        <v>387</v>
      </c>
      <c r="D128" s="9" t="n">
        <f aca="false">ROUND(AVERAGE(C122:C128),1)</f>
        <v>318</v>
      </c>
      <c r="E128" s="8" t="s">
        <v>140</v>
      </c>
      <c r="F128" s="8" t="s">
        <v>142</v>
      </c>
    </row>
    <row r="129" customFormat="false" ht="15" hidden="false" customHeight="false" outlineLevel="0" collapsed="false">
      <c r="A129" s="5" t="n">
        <v>46390</v>
      </c>
      <c r="B129" s="6" t="s">
        <v>18</v>
      </c>
      <c r="C129" s="7" t="n">
        <v>469</v>
      </c>
      <c r="D129" s="9" t="n">
        <f aca="false">ROUND(AVERAGE(C123:C129),1)</f>
        <v>337</v>
      </c>
      <c r="E129" s="8" t="s">
        <v>140</v>
      </c>
      <c r="F129" s="8" t="s">
        <v>143</v>
      </c>
    </row>
    <row r="130" customFormat="false" ht="15" hidden="false" customHeight="false" outlineLevel="0" collapsed="false">
      <c r="A130" s="5" t="n">
        <v>46391</v>
      </c>
      <c r="B130" s="6" t="s">
        <v>7</v>
      </c>
      <c r="C130" s="7" t="n">
        <v>515</v>
      </c>
      <c r="D130" s="9" t="n">
        <f aca="false">ROUND(AVERAGE(C124:C130),1)</f>
        <v>365.3</v>
      </c>
      <c r="E130" s="8" t="s">
        <v>140</v>
      </c>
      <c r="F130" s="8" t="s">
        <v>144</v>
      </c>
    </row>
    <row r="131" customFormat="false" ht="15" hidden="false" customHeight="false" outlineLevel="0" collapsed="false">
      <c r="A131" s="5" t="n">
        <v>46392</v>
      </c>
      <c r="B131" s="6" t="s">
        <v>21</v>
      </c>
      <c r="C131" s="7" t="n">
        <v>540</v>
      </c>
      <c r="D131" s="9" t="n">
        <f aca="false">ROUND(AVERAGE(C125:C131),1)</f>
        <v>400</v>
      </c>
      <c r="E131" s="8" t="s">
        <v>140</v>
      </c>
      <c r="F131" s="8" t="s">
        <v>145</v>
      </c>
    </row>
    <row r="132" customFormat="false" ht="15" hidden="false" customHeight="false" outlineLevel="0" collapsed="false">
      <c r="A132" s="5" t="n">
        <v>46393</v>
      </c>
      <c r="B132" s="6" t="s">
        <v>9</v>
      </c>
      <c r="C132" s="7" t="n">
        <v>533</v>
      </c>
      <c r="D132" s="9" t="n">
        <f aca="false">ROUND(AVERAGE(C126:C132),1)</f>
        <v>435</v>
      </c>
      <c r="E132" s="8" t="s">
        <v>140</v>
      </c>
      <c r="F132" s="8" t="s">
        <v>146</v>
      </c>
    </row>
    <row r="133" customFormat="false" ht="15" hidden="false" customHeight="false" outlineLevel="0" collapsed="false">
      <c r="A133" s="5" t="n">
        <v>46394</v>
      </c>
      <c r="B133" s="6" t="s">
        <v>12</v>
      </c>
      <c r="C133" s="7" t="n">
        <v>527</v>
      </c>
      <c r="D133" s="9" t="n">
        <f aca="false">ROUND(AVERAGE(C127:C133),1)</f>
        <v>469.7</v>
      </c>
      <c r="E133" s="8" t="s">
        <v>140</v>
      </c>
      <c r="F133" s="8" t="s">
        <v>147</v>
      </c>
    </row>
    <row r="134" customFormat="false" ht="15" hidden="false" customHeight="false" outlineLevel="0" collapsed="false">
      <c r="A134" s="5" t="n">
        <v>46395</v>
      </c>
      <c r="B134" s="6" t="s">
        <v>14</v>
      </c>
      <c r="C134" s="7" t="n">
        <v>511</v>
      </c>
      <c r="D134" s="9" t="n">
        <f aca="false">ROUND(AVERAGE(C128:C134),1)</f>
        <v>497.4</v>
      </c>
      <c r="E134" s="8" t="s">
        <v>140</v>
      </c>
      <c r="F134" s="8" t="s">
        <v>148</v>
      </c>
    </row>
    <row r="135" customFormat="false" ht="15" hidden="false" customHeight="false" outlineLevel="0" collapsed="false">
      <c r="A135" s="5" t="n">
        <v>46396</v>
      </c>
      <c r="B135" s="6" t="s">
        <v>16</v>
      </c>
      <c r="C135" s="7" t="n">
        <v>513</v>
      </c>
      <c r="D135" s="9" t="n">
        <f aca="false">ROUND(AVERAGE(C129:C135),1)</f>
        <v>515.4</v>
      </c>
      <c r="E135" s="8" t="s">
        <v>140</v>
      </c>
      <c r="F135" s="8" t="s">
        <v>149</v>
      </c>
    </row>
    <row r="136" customFormat="false" ht="15" hidden="false" customHeight="false" outlineLevel="0" collapsed="false">
      <c r="A136" s="5" t="n">
        <v>46397</v>
      </c>
      <c r="B136" s="6" t="s">
        <v>18</v>
      </c>
      <c r="C136" s="7" t="n">
        <v>532</v>
      </c>
      <c r="D136" s="9" t="n">
        <f aca="false">ROUND(AVERAGE(C130:C136),1)</f>
        <v>524.4</v>
      </c>
      <c r="E136" s="8" t="s">
        <v>140</v>
      </c>
      <c r="F136" s="8" t="s">
        <v>150</v>
      </c>
    </row>
    <row r="137" customFormat="false" ht="15" hidden="false" customHeight="false" outlineLevel="0" collapsed="false">
      <c r="A137" s="5" t="n">
        <v>46398</v>
      </c>
      <c r="B137" s="6" t="s">
        <v>7</v>
      </c>
      <c r="C137" s="7" t="n">
        <v>553</v>
      </c>
      <c r="D137" s="9" t="n">
        <f aca="false">ROUND(AVERAGE(C131:C137),1)</f>
        <v>529.9</v>
      </c>
      <c r="E137" s="8" t="s">
        <v>140</v>
      </c>
      <c r="F137" s="8" t="s">
        <v>151</v>
      </c>
    </row>
    <row r="138" customFormat="false" ht="15" hidden="false" customHeight="false" outlineLevel="0" collapsed="false">
      <c r="A138" s="5" t="n">
        <v>46399</v>
      </c>
      <c r="B138" s="6" t="s">
        <v>21</v>
      </c>
      <c r="C138" s="7" t="n">
        <v>550</v>
      </c>
      <c r="D138" s="9" t="n">
        <f aca="false">ROUND(AVERAGE(C132:C138),1)</f>
        <v>531.3</v>
      </c>
      <c r="E138" s="8" t="s">
        <v>140</v>
      </c>
      <c r="F138" s="8" t="s">
        <v>152</v>
      </c>
    </row>
    <row r="139" customFormat="false" ht="15" hidden="false" customHeight="false" outlineLevel="0" collapsed="false">
      <c r="A139" s="5" t="n">
        <v>46400</v>
      </c>
      <c r="B139" s="6" t="s">
        <v>9</v>
      </c>
      <c r="C139" s="7" t="n">
        <v>560</v>
      </c>
      <c r="D139" s="9" t="n">
        <f aca="false">ROUND(AVERAGE(C133:C139),1)</f>
        <v>535.1</v>
      </c>
      <c r="E139" s="8" t="s">
        <v>140</v>
      </c>
      <c r="F139" s="8" t="s">
        <v>153</v>
      </c>
    </row>
    <row r="140" customFormat="false" ht="15" hidden="false" customHeight="false" outlineLevel="0" collapsed="false">
      <c r="A140" s="5" t="n">
        <v>46401</v>
      </c>
      <c r="B140" s="6" t="s">
        <v>12</v>
      </c>
      <c r="C140" s="7" t="n">
        <v>561</v>
      </c>
      <c r="D140" s="9" t="n">
        <f aca="false">ROUND(AVERAGE(C134:C140),1)</f>
        <v>540</v>
      </c>
      <c r="E140" s="8" t="s">
        <v>140</v>
      </c>
      <c r="F140" s="8" t="s">
        <v>154</v>
      </c>
    </row>
    <row r="141" customFormat="false" ht="15" hidden="false" customHeight="false" outlineLevel="0" collapsed="false">
      <c r="A141" s="5" t="n">
        <v>46402</v>
      </c>
      <c r="B141" s="6" t="s">
        <v>14</v>
      </c>
      <c r="C141" s="7" t="n">
        <v>539</v>
      </c>
      <c r="D141" s="9" t="n">
        <f aca="false">ROUND(AVERAGE(C135:C141),1)</f>
        <v>544</v>
      </c>
      <c r="E141" s="8" t="s">
        <v>140</v>
      </c>
      <c r="F141" s="8" t="s">
        <v>155</v>
      </c>
    </row>
    <row r="142" customFormat="false" ht="15" hidden="false" customHeight="false" outlineLevel="0" collapsed="false">
      <c r="A142" s="5" t="n">
        <v>46403</v>
      </c>
      <c r="B142" s="6" t="s">
        <v>16</v>
      </c>
      <c r="C142" s="7" t="n">
        <v>530</v>
      </c>
      <c r="D142" s="9" t="n">
        <f aca="false">ROUND(AVERAGE(C136:C142),1)</f>
        <v>546.4</v>
      </c>
      <c r="E142" s="8" t="s">
        <v>140</v>
      </c>
      <c r="F142" s="8" t="s">
        <v>156</v>
      </c>
    </row>
    <row r="143" customFormat="false" ht="15" hidden="false" customHeight="false" outlineLevel="0" collapsed="false">
      <c r="A143" s="5" t="n">
        <v>46404</v>
      </c>
      <c r="B143" s="6" t="s">
        <v>18</v>
      </c>
      <c r="C143" s="7" t="n">
        <v>570</v>
      </c>
      <c r="D143" s="9" t="n">
        <f aca="false">ROUND(AVERAGE(C137:C143),1)</f>
        <v>551.9</v>
      </c>
      <c r="E143" s="8" t="s">
        <v>140</v>
      </c>
      <c r="F143" s="8" t="s">
        <v>157</v>
      </c>
    </row>
    <row r="144" customFormat="false" ht="15" hidden="false" customHeight="false" outlineLevel="0" collapsed="false">
      <c r="A144" s="5" t="n">
        <v>46405</v>
      </c>
      <c r="B144" s="6" t="s">
        <v>7</v>
      </c>
      <c r="C144" s="7" t="n">
        <v>577</v>
      </c>
      <c r="D144" s="9" t="n">
        <f aca="false">ROUND(AVERAGE(C138:C144),1)</f>
        <v>555.3</v>
      </c>
      <c r="E144" s="8" t="s">
        <v>140</v>
      </c>
      <c r="F144" s="8" t="s">
        <v>158</v>
      </c>
    </row>
    <row r="145" customFormat="false" ht="15" hidden="false" customHeight="false" outlineLevel="0" collapsed="false">
      <c r="A145" s="5" t="n">
        <v>46406</v>
      </c>
      <c r="B145" s="6" t="s">
        <v>21</v>
      </c>
      <c r="C145" s="7" t="n">
        <v>574</v>
      </c>
      <c r="D145" s="9" t="n">
        <f aca="false">ROUND(AVERAGE(C139:C145),1)</f>
        <v>558.7</v>
      </c>
      <c r="E145" s="8" t="s">
        <v>140</v>
      </c>
      <c r="F145" s="8" t="s">
        <v>159</v>
      </c>
    </row>
    <row r="146" customFormat="false" ht="15" hidden="false" customHeight="false" outlineLevel="0" collapsed="false">
      <c r="A146" s="5" t="n">
        <v>46407</v>
      </c>
      <c r="B146" s="6" t="s">
        <v>9</v>
      </c>
      <c r="C146" s="7" t="n">
        <v>578</v>
      </c>
      <c r="D146" s="9" t="n">
        <f aca="false">ROUND(AVERAGE(C140:C146),1)</f>
        <v>561.3</v>
      </c>
      <c r="E146" s="8" t="s">
        <v>140</v>
      </c>
      <c r="F146" s="8" t="s">
        <v>160</v>
      </c>
    </row>
    <row r="147" customFormat="false" ht="15" hidden="false" customHeight="false" outlineLevel="0" collapsed="false">
      <c r="A147" s="5" t="n">
        <v>46408</v>
      </c>
      <c r="B147" s="6" t="s">
        <v>12</v>
      </c>
      <c r="C147" s="7" t="n">
        <v>562</v>
      </c>
      <c r="D147" s="9" t="n">
        <f aca="false">ROUND(AVERAGE(C141:C147),1)</f>
        <v>561.4</v>
      </c>
      <c r="E147" s="8" t="s">
        <v>140</v>
      </c>
      <c r="F147" s="8" t="s">
        <v>161</v>
      </c>
    </row>
    <row r="148" customFormat="false" ht="15" hidden="false" customHeight="false" outlineLevel="0" collapsed="false">
      <c r="A148" s="5" t="n">
        <v>46409</v>
      </c>
      <c r="B148" s="6" t="s">
        <v>14</v>
      </c>
      <c r="C148" s="7" t="n">
        <v>544</v>
      </c>
      <c r="D148" s="9" t="n">
        <f aca="false">ROUND(AVERAGE(C142:C148),1)</f>
        <v>562.1</v>
      </c>
      <c r="E148" s="8" t="s">
        <v>140</v>
      </c>
      <c r="F148" s="8" t="s">
        <v>162</v>
      </c>
    </row>
    <row r="149" customFormat="false" ht="15" hidden="false" customHeight="false" outlineLevel="0" collapsed="false">
      <c r="A149" s="5" t="n">
        <v>46410</v>
      </c>
      <c r="B149" s="6" t="s">
        <v>16</v>
      </c>
      <c r="C149" s="7" t="n">
        <v>552</v>
      </c>
      <c r="D149" s="9" t="n">
        <f aca="false">ROUND(AVERAGE(C143:C149),1)</f>
        <v>565.3</v>
      </c>
      <c r="E149" s="8" t="s">
        <v>140</v>
      </c>
      <c r="F149" s="8" t="s">
        <v>163</v>
      </c>
    </row>
    <row r="150" customFormat="false" ht="15" hidden="false" customHeight="false" outlineLevel="0" collapsed="false">
      <c r="A150" s="5" t="n">
        <v>46411</v>
      </c>
      <c r="B150" s="6" t="s">
        <v>18</v>
      </c>
      <c r="C150" s="7" t="n">
        <v>581</v>
      </c>
      <c r="D150" s="9" t="n">
        <f aca="false">ROUND(AVERAGE(C144:C150),1)</f>
        <v>566.9</v>
      </c>
      <c r="E150" s="8" t="s">
        <v>140</v>
      </c>
      <c r="F150" s="8" t="s">
        <v>164</v>
      </c>
    </row>
    <row r="151" customFormat="false" ht="15" hidden="false" customHeight="false" outlineLevel="0" collapsed="false">
      <c r="A151" s="5" t="n">
        <v>46412</v>
      </c>
      <c r="B151" s="6" t="s">
        <v>7</v>
      </c>
      <c r="C151" s="7" t="n">
        <v>583</v>
      </c>
      <c r="D151" s="9" t="n">
        <f aca="false">ROUND(AVERAGE(C145:C151),1)</f>
        <v>567.7</v>
      </c>
      <c r="E151" s="8" t="s">
        <v>140</v>
      </c>
      <c r="F151" s="8" t="s">
        <v>165</v>
      </c>
    </row>
    <row r="152" customFormat="false" ht="15" hidden="false" customHeight="false" outlineLevel="0" collapsed="false">
      <c r="A152" s="5" t="n">
        <v>46413</v>
      </c>
      <c r="B152" s="6" t="s">
        <v>21</v>
      </c>
      <c r="C152" s="7" t="n">
        <v>578</v>
      </c>
      <c r="D152" s="9" t="n">
        <f aca="false">ROUND(AVERAGE(C146:C152),1)</f>
        <v>568.3</v>
      </c>
      <c r="E152" s="8" t="s">
        <v>140</v>
      </c>
      <c r="F152" s="8" t="s">
        <v>166</v>
      </c>
    </row>
    <row r="153" customFormat="false" ht="15" hidden="false" customHeight="false" outlineLevel="0" collapsed="false">
      <c r="A153" s="5" t="n">
        <v>46414</v>
      </c>
      <c r="B153" s="6" t="s">
        <v>9</v>
      </c>
      <c r="C153" s="7" t="n">
        <v>573</v>
      </c>
      <c r="D153" s="9" t="n">
        <f aca="false">ROUND(AVERAGE(C147:C153),1)</f>
        <v>567.6</v>
      </c>
      <c r="E153" s="8" t="s">
        <v>140</v>
      </c>
      <c r="F153" s="8" t="s">
        <v>167</v>
      </c>
    </row>
    <row r="154" customFormat="false" ht="15" hidden="false" customHeight="false" outlineLevel="0" collapsed="false">
      <c r="A154" s="5" t="n">
        <v>46415</v>
      </c>
      <c r="B154" s="6" t="s">
        <v>12</v>
      </c>
      <c r="C154" s="7" t="n">
        <v>576</v>
      </c>
      <c r="D154" s="9" t="n">
        <f aca="false">ROUND(AVERAGE(C148:C154),1)</f>
        <v>569.6</v>
      </c>
      <c r="E154" s="8" t="s">
        <v>140</v>
      </c>
      <c r="F154" s="8" t="s">
        <v>168</v>
      </c>
    </row>
    <row r="155" customFormat="false" ht="15" hidden="false" customHeight="false" outlineLevel="0" collapsed="false">
      <c r="A155" s="5" t="n">
        <v>46416</v>
      </c>
      <c r="B155" s="6" t="s">
        <v>14</v>
      </c>
      <c r="C155" s="7" t="n">
        <v>566</v>
      </c>
      <c r="D155" s="9" t="n">
        <f aca="false">ROUND(AVERAGE(C149:C155),1)</f>
        <v>572.7</v>
      </c>
      <c r="E155" s="8" t="s">
        <v>140</v>
      </c>
      <c r="F155" s="8" t="s">
        <v>169</v>
      </c>
    </row>
    <row r="156" customFormat="false" ht="15" hidden="false" customHeight="false" outlineLevel="0" collapsed="false">
      <c r="A156" s="5" t="n">
        <v>46417</v>
      </c>
      <c r="B156" s="6" t="s">
        <v>16</v>
      </c>
      <c r="C156" s="7" t="n">
        <v>560</v>
      </c>
      <c r="D156" s="9" t="n">
        <f aca="false">ROUND(AVERAGE(C150:C156),1)</f>
        <v>573.9</v>
      </c>
      <c r="E156" s="8" t="s">
        <v>140</v>
      </c>
      <c r="F156" s="8" t="s">
        <v>170</v>
      </c>
    </row>
    <row r="157" customFormat="false" ht="15" hidden="false" customHeight="false" outlineLevel="0" collapsed="false">
      <c r="A157" s="5" t="n">
        <v>46418</v>
      </c>
      <c r="B157" s="6" t="s">
        <v>18</v>
      </c>
      <c r="C157" s="7" t="n">
        <v>597</v>
      </c>
      <c r="D157" s="9" t="n">
        <f aca="false">ROUND(AVERAGE(C151:C157),1)</f>
        <v>576.1</v>
      </c>
      <c r="E157" s="8" t="s">
        <v>140</v>
      </c>
      <c r="F157" s="8" t="s">
        <v>171</v>
      </c>
    </row>
    <row r="158" customFormat="false" ht="15" hidden="false" customHeight="false" outlineLevel="0" collapsed="false">
      <c r="A158" s="5" t="n">
        <v>46419</v>
      </c>
      <c r="B158" s="6" t="s">
        <v>7</v>
      </c>
      <c r="C158" s="7" t="n">
        <v>601</v>
      </c>
      <c r="D158" s="9" t="n">
        <f aca="false">ROUND(AVERAGE(C152:C158),1)</f>
        <v>578.7</v>
      </c>
      <c r="E158" s="8" t="s">
        <v>172</v>
      </c>
      <c r="F158" s="8" t="s">
        <v>173</v>
      </c>
    </row>
    <row r="159" customFormat="false" ht="15" hidden="false" customHeight="false" outlineLevel="0" collapsed="false">
      <c r="A159" s="5" t="n">
        <v>46420</v>
      </c>
      <c r="B159" s="6" t="s">
        <v>21</v>
      </c>
      <c r="C159" s="7" t="n">
        <v>587</v>
      </c>
      <c r="D159" s="9" t="n">
        <f aca="false">ROUND(AVERAGE(C153:C159),1)</f>
        <v>580</v>
      </c>
      <c r="E159" s="8" t="s">
        <v>172</v>
      </c>
      <c r="F159" s="8" t="s">
        <v>174</v>
      </c>
    </row>
    <row r="160" customFormat="false" ht="15" hidden="false" customHeight="false" outlineLevel="0" collapsed="false">
      <c r="A160" s="5" t="n">
        <v>46421</v>
      </c>
      <c r="B160" s="6" t="s">
        <v>9</v>
      </c>
      <c r="C160" s="7" t="n">
        <v>585</v>
      </c>
      <c r="D160" s="9" t="n">
        <f aca="false">ROUND(AVERAGE(C154:C160),1)</f>
        <v>581.7</v>
      </c>
      <c r="E160" s="8" t="s">
        <v>172</v>
      </c>
      <c r="F160" s="8" t="s">
        <v>175</v>
      </c>
    </row>
    <row r="161" customFormat="false" ht="15" hidden="false" customHeight="false" outlineLevel="0" collapsed="false">
      <c r="A161" s="5" t="n">
        <v>46422</v>
      </c>
      <c r="B161" s="6" t="s">
        <v>12</v>
      </c>
      <c r="C161" s="7" t="n">
        <v>581</v>
      </c>
      <c r="D161" s="9" t="n">
        <f aca="false">ROUND(AVERAGE(C155:C161),1)</f>
        <v>582.4</v>
      </c>
      <c r="E161" s="8" t="s">
        <v>172</v>
      </c>
      <c r="F161" s="8" t="s">
        <v>176</v>
      </c>
    </row>
    <row r="162" customFormat="false" ht="15" hidden="false" customHeight="false" outlineLevel="0" collapsed="false">
      <c r="A162" s="5" t="n">
        <v>46423</v>
      </c>
      <c r="B162" s="6" t="s">
        <v>14</v>
      </c>
      <c r="C162" s="7" t="n">
        <v>555</v>
      </c>
      <c r="D162" s="9" t="n">
        <f aca="false">ROUND(AVERAGE(C156:C162),1)</f>
        <v>580.9</v>
      </c>
      <c r="E162" s="8" t="s">
        <v>172</v>
      </c>
      <c r="F162" s="8" t="s">
        <v>177</v>
      </c>
    </row>
    <row r="163" customFormat="false" ht="15" hidden="false" customHeight="false" outlineLevel="0" collapsed="false">
      <c r="A163" s="5" t="n">
        <v>46424</v>
      </c>
      <c r="B163" s="6" t="s">
        <v>16</v>
      </c>
      <c r="C163" s="7" t="n">
        <v>534</v>
      </c>
      <c r="D163" s="9" t="n">
        <f aca="false">ROUND(AVERAGE(C157:C163),1)</f>
        <v>577.1</v>
      </c>
      <c r="E163" s="8" t="s">
        <v>172</v>
      </c>
      <c r="F163" s="8" t="s">
        <v>178</v>
      </c>
    </row>
    <row r="164" customFormat="false" ht="15" hidden="false" customHeight="false" outlineLevel="0" collapsed="false">
      <c r="A164" s="5" t="n">
        <v>46425</v>
      </c>
      <c r="B164" s="6" t="s">
        <v>18</v>
      </c>
      <c r="C164" s="7" t="n">
        <v>551</v>
      </c>
      <c r="D164" s="9" t="n">
        <f aca="false">ROUND(AVERAGE(C158:C164),1)</f>
        <v>570.6</v>
      </c>
      <c r="E164" s="8" t="s">
        <v>172</v>
      </c>
      <c r="F164" s="8" t="s">
        <v>179</v>
      </c>
    </row>
    <row r="165" customFormat="false" ht="15" hidden="false" customHeight="false" outlineLevel="0" collapsed="false">
      <c r="A165" s="5" t="n">
        <v>46426</v>
      </c>
      <c r="B165" s="6" t="s">
        <v>7</v>
      </c>
      <c r="C165" s="7" t="n">
        <v>552</v>
      </c>
      <c r="D165" s="9" t="n">
        <f aca="false">ROUND(AVERAGE(C159:C165),1)</f>
        <v>563.6</v>
      </c>
      <c r="E165" s="8" t="s">
        <v>172</v>
      </c>
      <c r="F165" s="8" t="s">
        <v>180</v>
      </c>
    </row>
    <row r="166" customFormat="false" ht="15" hidden="false" customHeight="false" outlineLevel="0" collapsed="false">
      <c r="A166" s="5" t="n">
        <v>46427</v>
      </c>
      <c r="B166" s="6" t="s">
        <v>21</v>
      </c>
      <c r="C166" s="7" t="n">
        <v>578</v>
      </c>
      <c r="D166" s="9" t="n">
        <f aca="false">ROUND(AVERAGE(C160:C166),1)</f>
        <v>562.3</v>
      </c>
      <c r="E166" s="8" t="s">
        <v>172</v>
      </c>
      <c r="F166" s="8" t="s">
        <v>181</v>
      </c>
    </row>
    <row r="167" customFormat="false" ht="15" hidden="false" customHeight="false" outlineLevel="0" collapsed="false">
      <c r="A167" s="5" t="n">
        <v>46428</v>
      </c>
      <c r="B167" s="6" t="s">
        <v>9</v>
      </c>
      <c r="C167" s="7" t="n">
        <v>579</v>
      </c>
      <c r="D167" s="9" t="n">
        <f aca="false">ROUND(AVERAGE(C161:C167),1)</f>
        <v>561.4</v>
      </c>
      <c r="E167" s="8" t="s">
        <v>172</v>
      </c>
      <c r="F167" s="8" t="s">
        <v>182</v>
      </c>
    </row>
    <row r="168" customFormat="false" ht="15" hidden="false" customHeight="false" outlineLevel="0" collapsed="false">
      <c r="A168" s="5" t="n">
        <v>46429</v>
      </c>
      <c r="B168" s="6" t="s">
        <v>12</v>
      </c>
      <c r="C168" s="7" t="n">
        <v>565</v>
      </c>
      <c r="D168" s="9" t="n">
        <f aca="false">ROUND(AVERAGE(C162:C168),1)</f>
        <v>559.1</v>
      </c>
      <c r="E168" s="8" t="s">
        <v>172</v>
      </c>
      <c r="F168" s="8" t="s">
        <v>183</v>
      </c>
    </row>
    <row r="169" customFormat="false" ht="15" hidden="false" customHeight="false" outlineLevel="0" collapsed="false">
      <c r="A169" s="5" t="n">
        <v>46430</v>
      </c>
      <c r="B169" s="6" t="s">
        <v>14</v>
      </c>
      <c r="C169" s="7" t="n">
        <v>548</v>
      </c>
      <c r="D169" s="9" t="n">
        <f aca="false">ROUND(AVERAGE(C163:C169),1)</f>
        <v>558.1</v>
      </c>
      <c r="E169" s="8" t="s">
        <v>172</v>
      </c>
      <c r="F169" s="8" t="s">
        <v>184</v>
      </c>
    </row>
    <row r="170" customFormat="false" ht="15" hidden="false" customHeight="false" outlineLevel="0" collapsed="false">
      <c r="A170" s="5" t="n">
        <v>46431</v>
      </c>
      <c r="B170" s="6" t="s">
        <v>16</v>
      </c>
      <c r="C170" s="7" t="n">
        <v>552</v>
      </c>
      <c r="D170" s="9" t="n">
        <f aca="false">ROUND(AVERAGE(C164:C170),1)</f>
        <v>560.7</v>
      </c>
      <c r="E170" s="8" t="s">
        <v>172</v>
      </c>
      <c r="F170" s="8" t="s">
        <v>185</v>
      </c>
    </row>
    <row r="171" customFormat="false" ht="15" hidden="false" customHeight="false" outlineLevel="0" collapsed="false">
      <c r="A171" s="5" t="n">
        <v>46432</v>
      </c>
      <c r="B171" s="6" t="s">
        <v>18</v>
      </c>
      <c r="C171" s="7" t="n">
        <v>586</v>
      </c>
      <c r="D171" s="9" t="n">
        <f aca="false">ROUND(AVERAGE(C165:C171),1)</f>
        <v>565.7</v>
      </c>
      <c r="E171" s="8" t="s">
        <v>172</v>
      </c>
      <c r="F171" s="8" t="s">
        <v>186</v>
      </c>
    </row>
    <row r="172" customFormat="false" ht="15" hidden="false" customHeight="false" outlineLevel="0" collapsed="false">
      <c r="A172" s="5" t="n">
        <v>46433</v>
      </c>
      <c r="B172" s="6" t="s">
        <v>7</v>
      </c>
      <c r="C172" s="7" t="n">
        <v>587</v>
      </c>
      <c r="D172" s="9" t="n">
        <f aca="false">ROUND(AVERAGE(C166:C172),1)</f>
        <v>570.7</v>
      </c>
      <c r="E172" s="8" t="s">
        <v>172</v>
      </c>
      <c r="F172" s="8" t="s">
        <v>187</v>
      </c>
    </row>
    <row r="173" customFormat="false" ht="15" hidden="false" customHeight="false" outlineLevel="0" collapsed="false">
      <c r="A173" s="5" t="n">
        <v>46434</v>
      </c>
      <c r="B173" s="6" t="s">
        <v>21</v>
      </c>
      <c r="C173" s="7" t="n">
        <v>580</v>
      </c>
      <c r="D173" s="9" t="n">
        <f aca="false">ROUND(AVERAGE(C167:C173),1)</f>
        <v>571</v>
      </c>
      <c r="E173" s="8" t="s">
        <v>172</v>
      </c>
      <c r="F173" s="8" t="s">
        <v>188</v>
      </c>
    </row>
    <row r="174" customFormat="false" ht="15" hidden="false" customHeight="false" outlineLevel="0" collapsed="false">
      <c r="A174" s="5" t="n">
        <v>46435</v>
      </c>
      <c r="B174" s="6" t="s">
        <v>9</v>
      </c>
      <c r="C174" s="7" t="n">
        <v>575</v>
      </c>
      <c r="D174" s="9" t="n">
        <f aca="false">ROUND(AVERAGE(C168:C174),1)</f>
        <v>570.4</v>
      </c>
      <c r="E174" s="8" t="s">
        <v>172</v>
      </c>
      <c r="F174" s="8" t="s">
        <v>189</v>
      </c>
    </row>
    <row r="175" customFormat="false" ht="15" hidden="false" customHeight="false" outlineLevel="0" collapsed="false">
      <c r="A175" s="5" t="n">
        <v>46436</v>
      </c>
      <c r="B175" s="6" t="s">
        <v>12</v>
      </c>
      <c r="C175" s="7" t="n">
        <v>578</v>
      </c>
      <c r="D175" s="9" t="n">
        <f aca="false">ROUND(AVERAGE(C169:C175),1)</f>
        <v>572.3</v>
      </c>
      <c r="E175" s="8" t="s">
        <v>172</v>
      </c>
      <c r="F175" s="8" t="s">
        <v>190</v>
      </c>
    </row>
    <row r="176" customFormat="false" ht="15" hidden="false" customHeight="false" outlineLevel="0" collapsed="false">
      <c r="A176" s="5" t="n">
        <v>46437</v>
      </c>
      <c r="B176" s="6" t="s">
        <v>14</v>
      </c>
      <c r="C176" s="7" t="n">
        <v>564</v>
      </c>
      <c r="D176" s="9" t="n">
        <f aca="false">ROUND(AVERAGE(C170:C176),1)</f>
        <v>574.6</v>
      </c>
      <c r="E176" s="8" t="s">
        <v>172</v>
      </c>
      <c r="F176" s="8" t="s">
        <v>191</v>
      </c>
    </row>
    <row r="177" customFormat="false" ht="15" hidden="false" customHeight="false" outlineLevel="0" collapsed="false">
      <c r="A177" s="5" t="n">
        <v>46438</v>
      </c>
      <c r="B177" s="6" t="s">
        <v>16</v>
      </c>
      <c r="C177" s="7" t="n">
        <v>562</v>
      </c>
      <c r="D177" s="9" t="n">
        <f aca="false">ROUND(AVERAGE(C171:C177),1)</f>
        <v>576</v>
      </c>
      <c r="E177" s="8" t="s">
        <v>172</v>
      </c>
      <c r="F177" s="8" t="s">
        <v>192</v>
      </c>
    </row>
    <row r="178" customFormat="false" ht="15" hidden="false" customHeight="false" outlineLevel="0" collapsed="false">
      <c r="A178" s="5" t="n">
        <v>46439</v>
      </c>
      <c r="B178" s="6" t="s">
        <v>18</v>
      </c>
      <c r="C178" s="7" t="n">
        <v>598</v>
      </c>
      <c r="D178" s="9" t="n">
        <f aca="false">ROUND(AVERAGE(C172:C178),1)</f>
        <v>577.7</v>
      </c>
      <c r="E178" s="8" t="s">
        <v>172</v>
      </c>
      <c r="F178" s="8" t="s">
        <v>193</v>
      </c>
    </row>
    <row r="179" customFormat="false" ht="15" hidden="false" customHeight="false" outlineLevel="0" collapsed="false">
      <c r="A179" s="5" t="n">
        <v>46440</v>
      </c>
      <c r="B179" s="6" t="s">
        <v>7</v>
      </c>
      <c r="C179" s="7" t="n">
        <v>597</v>
      </c>
      <c r="D179" s="9" t="n">
        <f aca="false">ROUND(AVERAGE(C173:C179),1)</f>
        <v>579.1</v>
      </c>
      <c r="E179" s="8" t="s">
        <v>172</v>
      </c>
      <c r="F179" s="8" t="s">
        <v>194</v>
      </c>
    </row>
    <row r="180" customFormat="false" ht="15" hidden="false" customHeight="false" outlineLevel="0" collapsed="false">
      <c r="A180" s="5" t="n">
        <v>46441</v>
      </c>
      <c r="B180" s="6" t="s">
        <v>21</v>
      </c>
      <c r="C180" s="7" t="n">
        <v>596</v>
      </c>
      <c r="D180" s="9" t="n">
        <f aca="false">ROUND(AVERAGE(C174:C180),1)</f>
        <v>581.4</v>
      </c>
      <c r="E180" s="8" t="s">
        <v>172</v>
      </c>
      <c r="F180" s="8" t="s">
        <v>195</v>
      </c>
    </row>
    <row r="181" customFormat="false" ht="15" hidden="false" customHeight="false" outlineLevel="0" collapsed="false">
      <c r="A181" s="5" t="n">
        <v>46442</v>
      </c>
      <c r="B181" s="6" t="s">
        <v>9</v>
      </c>
      <c r="C181" s="7" t="n">
        <v>593</v>
      </c>
      <c r="D181" s="9" t="n">
        <f aca="false">ROUND(AVERAGE(C175:C181),1)</f>
        <v>584</v>
      </c>
      <c r="E181" s="8" t="s">
        <v>172</v>
      </c>
      <c r="F181" s="8" t="s">
        <v>196</v>
      </c>
    </row>
    <row r="182" customFormat="false" ht="15" hidden="false" customHeight="false" outlineLevel="0" collapsed="false">
      <c r="A182" s="5" t="n">
        <v>46443</v>
      </c>
      <c r="B182" s="6" t="s">
        <v>12</v>
      </c>
      <c r="C182" s="7" t="n">
        <v>594</v>
      </c>
      <c r="D182" s="9" t="n">
        <f aca="false">ROUND(AVERAGE(C176:C182),1)</f>
        <v>586.3</v>
      </c>
      <c r="E182" s="8" t="s">
        <v>172</v>
      </c>
      <c r="F182" s="8" t="s">
        <v>197</v>
      </c>
    </row>
    <row r="183" customFormat="false" ht="15" hidden="false" customHeight="false" outlineLevel="0" collapsed="false">
      <c r="A183" s="5" t="n">
        <v>46444</v>
      </c>
      <c r="B183" s="6" t="s">
        <v>14</v>
      </c>
      <c r="C183" s="7" t="n">
        <v>576</v>
      </c>
      <c r="D183" s="9" t="n">
        <f aca="false">ROUND(AVERAGE(C177:C183),1)</f>
        <v>588</v>
      </c>
      <c r="E183" s="8" t="s">
        <v>172</v>
      </c>
      <c r="F183" s="8" t="s">
        <v>198</v>
      </c>
    </row>
    <row r="184" customFormat="false" ht="15" hidden="false" customHeight="false" outlineLevel="0" collapsed="false">
      <c r="A184" s="5" t="n">
        <v>46445</v>
      </c>
      <c r="B184" s="6" t="s">
        <v>16</v>
      </c>
      <c r="C184" s="7" t="n">
        <v>572</v>
      </c>
      <c r="D184" s="9" t="n">
        <f aca="false">ROUND(AVERAGE(C178:C184),1)</f>
        <v>589.4</v>
      </c>
      <c r="E184" s="8" t="s">
        <v>172</v>
      </c>
      <c r="F184" s="8" t="s">
        <v>199</v>
      </c>
    </row>
    <row r="185" customFormat="false" ht="15" hidden="false" customHeight="false" outlineLevel="0" collapsed="false">
      <c r="A185" s="5" t="n">
        <v>46446</v>
      </c>
      <c r="B185" s="6" t="s">
        <v>18</v>
      </c>
      <c r="C185" s="7" t="n">
        <v>590</v>
      </c>
      <c r="D185" s="9" t="n">
        <f aca="false">ROUND(AVERAGE(C179:C185),1)</f>
        <v>588.3</v>
      </c>
      <c r="E185" s="8" t="s">
        <v>172</v>
      </c>
      <c r="F185" s="8" t="s">
        <v>200</v>
      </c>
    </row>
    <row r="186" customFormat="false" ht="15" hidden="false" customHeight="false" outlineLevel="0" collapsed="false">
      <c r="A186" s="5" t="n">
        <v>46447</v>
      </c>
      <c r="B186" s="6" t="s">
        <v>7</v>
      </c>
      <c r="C186" s="7" t="n">
        <v>520</v>
      </c>
      <c r="D186" s="9" t="n">
        <f aca="false">ROUND(AVERAGE(C180:C186),1)</f>
        <v>577.3</v>
      </c>
      <c r="E186" s="8" t="s">
        <v>201</v>
      </c>
      <c r="F186" s="8" t="s">
        <v>202</v>
      </c>
    </row>
    <row r="187" customFormat="false" ht="15" hidden="false" customHeight="false" outlineLevel="0" collapsed="false">
      <c r="A187" s="5" t="n">
        <v>46448</v>
      </c>
      <c r="B187" s="6" t="s">
        <v>21</v>
      </c>
      <c r="C187" s="7" t="n">
        <v>505</v>
      </c>
      <c r="D187" s="9" t="n">
        <f aca="false">ROUND(AVERAGE(C181:C187),1)</f>
        <v>564.3</v>
      </c>
      <c r="E187" s="8" t="s">
        <v>201</v>
      </c>
      <c r="F187" s="8" t="s">
        <v>203</v>
      </c>
    </row>
    <row r="188" customFormat="false" ht="15" hidden="false" customHeight="false" outlineLevel="0" collapsed="false">
      <c r="A188" s="5" t="n">
        <v>46449</v>
      </c>
      <c r="B188" s="6" t="s">
        <v>9</v>
      </c>
      <c r="C188" s="7" t="n">
        <v>496</v>
      </c>
      <c r="D188" s="9" t="n">
        <f aca="false">ROUND(AVERAGE(C182:C188),1)</f>
        <v>550.4</v>
      </c>
      <c r="E188" s="8" t="s">
        <v>201</v>
      </c>
      <c r="F188" s="8" t="s">
        <v>204</v>
      </c>
    </row>
    <row r="189" customFormat="false" ht="15" hidden="false" customHeight="false" outlineLevel="0" collapsed="false">
      <c r="A189" s="5" t="n">
        <v>46450</v>
      </c>
      <c r="B189" s="6" t="s">
        <v>12</v>
      </c>
      <c r="C189" s="7" t="n">
        <v>477</v>
      </c>
      <c r="D189" s="9" t="n">
        <f aca="false">ROUND(AVERAGE(C183:C189),1)</f>
        <v>533.7</v>
      </c>
      <c r="E189" s="8" t="s">
        <v>201</v>
      </c>
      <c r="F189" s="8" t="s">
        <v>205</v>
      </c>
    </row>
    <row r="191" customFormat="false" ht="15" hidden="false" customHeight="false" outlineLevel="0" collapsed="false">
      <c r="A191" s="10" t="s">
        <v>206</v>
      </c>
    </row>
    <row r="192" customFormat="false" ht="15" hidden="false" customHeight="false" outlineLevel="0" collapsed="false">
      <c r="A192" s="6" t="s">
        <v>207</v>
      </c>
      <c r="B192" s="11" t="n">
        <f aca="false">C6</f>
        <v>330</v>
      </c>
    </row>
    <row r="193" customFormat="false" ht="15" hidden="false" customHeight="false" outlineLevel="0" collapsed="false">
      <c r="A193" s="6" t="s">
        <v>208</v>
      </c>
      <c r="B193" s="11" t="n">
        <f aca="false">MIN(C6:C189)</f>
        <v>118</v>
      </c>
    </row>
    <row r="194" customFormat="false" ht="15" hidden="false" customHeight="false" outlineLevel="0" collapsed="false">
      <c r="A194" s="6" t="s">
        <v>209</v>
      </c>
      <c r="B194" s="11" t="n">
        <f aca="false">MAX(C6:C189)</f>
        <v>601</v>
      </c>
    </row>
    <row r="195" customFormat="false" ht="15" hidden="false" customHeight="false" outlineLevel="0" collapsed="false">
      <c r="A195" s="6" t="s">
        <v>210</v>
      </c>
      <c r="B195" s="11" t="n">
        <f aca="false">ROUND(AVERAGE(C6:C189),1)</f>
        <v>431.8</v>
      </c>
    </row>
    <row r="196" customFormat="false" ht="15" hidden="false" customHeight="false" outlineLevel="0" collapsed="false">
      <c r="A196" s="6" t="s">
        <v>211</v>
      </c>
      <c r="B196" s="11" t="n">
        <f aca="false">ROUND(MEDIAN(C6:C189),1)</f>
        <v>439</v>
      </c>
    </row>
    <row r="198" customFormat="false" ht="15" hidden="false" customHeight="false" outlineLevel="0" collapsed="false">
      <c r="A198" s="2" t="s">
        <v>212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8"/>
    <col collapsed="false" customWidth="true" hidden="false" outlineLevel="0" max="5" min="4" style="0" width="10"/>
  </cols>
  <sheetData>
    <row r="1" customFormat="false" ht="15" hidden="false" customHeight="false" outlineLevel="0" collapsed="false">
      <c r="A1" s="3" t="s">
        <v>7</v>
      </c>
      <c r="B1" s="3" t="s">
        <v>213</v>
      </c>
      <c r="C1" s="3" t="s">
        <v>214</v>
      </c>
      <c r="D1" s="3" t="s">
        <v>208</v>
      </c>
      <c r="E1" s="3" t="s">
        <v>209</v>
      </c>
    </row>
    <row r="2" customFormat="false" ht="15" hidden="false" customHeight="false" outlineLevel="0" collapsed="false">
      <c r="A2" s="8" t="s">
        <v>10</v>
      </c>
      <c r="B2" s="11" t="n">
        <f aca="false">ROUND(AVERAGEIF(日別データ!$E$6:$E$189,A2,日別データ!$C$6:$C$189),1)</f>
        <v>387.1</v>
      </c>
      <c r="C2" s="12" t="n">
        <f aca="false">COUNTIF(日別データ!$E$6:$E$189,A2)</f>
        <v>29</v>
      </c>
      <c r="D2" s="12" t="n">
        <f aca="false">_xlfn.MINIFS(日別データ!$C$6:$C$189,日別データ!$E$6:$E$189,A2)</f>
        <v>118</v>
      </c>
      <c r="E2" s="12" t="n">
        <f aca="false">_xlfn.MAXIFS(日別データ!$C$6:$C$189,日別データ!$E$6:$E$189,A2)</f>
        <v>498</v>
      </c>
    </row>
    <row r="3" customFormat="false" ht="15" hidden="false" customHeight="false" outlineLevel="0" collapsed="false">
      <c r="A3" s="8" t="s">
        <v>45</v>
      </c>
      <c r="B3" s="11" t="n">
        <f aca="false">ROUND(AVERAGEIF(日別データ!$E$6:$E$189,A3,日別データ!$C$6:$C$189),1)</f>
        <v>283.2</v>
      </c>
      <c r="C3" s="12" t="n">
        <f aca="false">COUNTIF(日別データ!$E$6:$E$189,A3)</f>
        <v>31</v>
      </c>
      <c r="D3" s="12" t="n">
        <f aca="false">_xlfn.MINIFS(日別データ!$C$6:$C$189,日別データ!$E$6:$E$189,A3)</f>
        <v>190</v>
      </c>
      <c r="E3" s="12" t="n">
        <f aca="false">_xlfn.MAXIFS(日別データ!$C$6:$C$189,日別データ!$E$6:$E$189,A3)</f>
        <v>345</v>
      </c>
    </row>
    <row r="4" customFormat="false" ht="15" hidden="false" customHeight="false" outlineLevel="0" collapsed="false">
      <c r="A4" s="8" t="s">
        <v>77</v>
      </c>
      <c r="B4" s="11" t="n">
        <f aca="false">ROUND(AVERAGEIF(日別データ!$E$6:$E$189,A4,日別データ!$C$6:$C$189),1)</f>
        <v>374.6</v>
      </c>
      <c r="C4" s="12" t="n">
        <f aca="false">COUNTIF(日別データ!$E$6:$E$189,A4)</f>
        <v>30</v>
      </c>
      <c r="D4" s="12" t="n">
        <f aca="false">_xlfn.MINIFS(日別データ!$C$6:$C$189,日別データ!$E$6:$E$189,A4)</f>
        <v>282</v>
      </c>
      <c r="E4" s="12" t="n">
        <f aca="false">_xlfn.MAXIFS(日別データ!$C$6:$C$189,日別データ!$E$6:$E$189,A4)</f>
        <v>473</v>
      </c>
    </row>
    <row r="5" customFormat="false" ht="15" hidden="false" customHeight="false" outlineLevel="0" collapsed="false">
      <c r="A5" s="8" t="s">
        <v>108</v>
      </c>
      <c r="B5" s="11" t="n">
        <f aca="false">ROUND(AVERAGEIF(日別データ!$E$6:$E$189,A5,日別データ!$C$6:$C$189),1)</f>
        <v>431.9</v>
      </c>
      <c r="C5" s="12" t="n">
        <f aca="false">COUNTIF(日別データ!$E$6:$E$189,A5)</f>
        <v>31</v>
      </c>
      <c r="D5" s="12" t="n">
        <f aca="false">_xlfn.MINIFS(日別データ!$C$6:$C$189,日別データ!$E$6:$E$189,A5)</f>
        <v>284</v>
      </c>
      <c r="E5" s="12" t="n">
        <f aca="false">_xlfn.MAXIFS(日別データ!$C$6:$C$189,日別データ!$E$6:$E$189,A5)</f>
        <v>498</v>
      </c>
    </row>
    <row r="6" customFormat="false" ht="15" hidden="false" customHeight="false" outlineLevel="0" collapsed="false">
      <c r="A6" s="8" t="s">
        <v>140</v>
      </c>
      <c r="B6" s="11" t="n">
        <f aca="false">ROUND(AVERAGEIF(日別データ!$E$6:$E$189,A6,日別データ!$C$6:$C$189),1)</f>
        <v>539</v>
      </c>
      <c r="C6" s="12" t="n">
        <f aca="false">COUNTIF(日別データ!$E$6:$E$189,A6)</f>
        <v>31</v>
      </c>
      <c r="D6" s="12" t="n">
        <f aca="false">_xlfn.MINIFS(日別データ!$C$6:$C$189,日別データ!$E$6:$E$189,A6)</f>
        <v>317</v>
      </c>
      <c r="E6" s="12" t="n">
        <f aca="false">_xlfn.MAXIFS(日別データ!$C$6:$C$189,日別データ!$E$6:$E$189,A6)</f>
        <v>597</v>
      </c>
    </row>
    <row r="7" customFormat="false" ht="15" hidden="false" customHeight="false" outlineLevel="0" collapsed="false">
      <c r="A7" s="8" t="s">
        <v>172</v>
      </c>
      <c r="B7" s="11" t="n">
        <f aca="false">ROUND(AVERAGEIF(日別データ!$E$6:$E$189,A7,日別データ!$C$6:$C$189),1)</f>
        <v>575.6</v>
      </c>
      <c r="C7" s="12" t="n">
        <f aca="false">COUNTIF(日別データ!$E$6:$E$189,A7)</f>
        <v>28</v>
      </c>
      <c r="D7" s="12" t="n">
        <f aca="false">_xlfn.MINIFS(日別データ!$C$6:$C$189,日別データ!$E$6:$E$189,A7)</f>
        <v>534</v>
      </c>
      <c r="E7" s="12" t="n">
        <f aca="false">_xlfn.MAXIFS(日別データ!$C$6:$C$189,日別データ!$E$6:$E$189,A7)</f>
        <v>601</v>
      </c>
    </row>
    <row r="8" customFormat="false" ht="15" hidden="false" customHeight="false" outlineLevel="0" collapsed="false">
      <c r="A8" s="8" t="s">
        <v>201</v>
      </c>
      <c r="B8" s="11" t="n">
        <f aca="false">ROUND(AVERAGEIF(日別データ!$E$6:$E$189,A8,日別データ!$C$6:$C$189),1)</f>
        <v>499.5</v>
      </c>
      <c r="C8" s="12" t="n">
        <f aca="false">COUNTIF(日別データ!$E$6:$E$189,A8)</f>
        <v>4</v>
      </c>
      <c r="D8" s="12" t="n">
        <f aca="false">_xlfn.MINIFS(日別データ!$C$6:$C$189,日別データ!$E$6:$E$189,A8)</f>
        <v>477</v>
      </c>
      <c r="E8" s="12" t="n">
        <f aca="false">_xlfn.MAXIFS(日別データ!$C$6:$C$189,日別データ!$E$6:$E$189,A8)</f>
        <v>520</v>
      </c>
    </row>
    <row r="10" customFormat="false" ht="15" hidden="false" customHeight="false" outlineLevel="0" collapsed="false">
      <c r="A10" s="13" t="s">
        <v>215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2026-09-02T11:24:27Z</dcterms:created>
  <dc:creator>openpyxl</dc:creator>
  <dc:description/>
  <dc:language>en-US</dc:language>
  <cp:lastModifiedBy/>
  <dcterms:modified xsi:type="dcterms:W3CDTF">2026-09-02T20:27:27Z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