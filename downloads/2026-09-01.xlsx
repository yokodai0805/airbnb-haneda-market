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グラフ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<sst xmlns="http://schemas.openxmlformats.org/spreadsheetml/2006/main" count="572" uniqueCount="210">
  <si>
    <t xml:space="preserve">日付</t>
  </si>
  <si>
    <t xml:space="preserve">曜日</t>
  </si>
  <si>
    <t xml:space="preserve">年月</t>
  </si>
  <si>
    <t xml:space="preserve">在庫件数</t>
  </si>
  <si>
    <t xml:space="preserve">2026-09-01</t>
  </si>
  <si>
    <t xml:space="preserve">火</t>
  </si>
  <si>
    <t xml:space="preserve">2026-09</t>
  </si>
  <si>
    <t xml:space="preserve">2026-09-02</t>
  </si>
  <si>
    <t xml:space="preserve">水</t>
  </si>
  <si>
    <t xml:space="preserve">2026-09-03</t>
  </si>
  <si>
    <t xml:space="preserve">木</t>
  </si>
  <si>
    <t xml:space="preserve">2026-09-04</t>
  </si>
  <si>
    <t xml:space="preserve">金</t>
  </si>
  <si>
    <t xml:space="preserve">2026-09-05</t>
  </si>
  <si>
    <t xml:space="preserve">土</t>
  </si>
  <si>
    <t xml:space="preserve">2026-09-06</t>
  </si>
  <si>
    <t xml:space="preserve">日</t>
  </si>
  <si>
    <t xml:space="preserve">2026-09-07</t>
  </si>
  <si>
    <t xml:space="preserve">月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</si>
  <si>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</si>
  <si>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</si>
  <si>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</si>
  <si>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</si>
  <si>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</si>
  <si>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</si>
  <si>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</si>
  <si>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</si>
  <si>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</si>
  <si>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</si>
  <si>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</si>
  <si>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</si>
  <si>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</si>
  <si>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</si>
  <si>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</si>
  <si>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</si>
  <si>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</si>
  <si>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</si>
  <si>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</si>
  <si>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</si>
  <si>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</si>
  <si>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</si>
  <si>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</si>
  <si>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</si>
  <si>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</si>
  <si>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</si>
  <si>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</si>
  <si>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</si>
  <si>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</si>
  <si>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</si>
  <si>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</si>
  <si>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</si>
  <si>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</si>
  <si>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</si>
  <si>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</si>
  <si>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</si>
  <si>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</si>
  <si>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</si>
  <si>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</si>
  <si>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</si>
  <si>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</si>
  <si>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</si>
  <si>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</si>
  <si>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</si>
  <si>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</si>
  <si>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</si>
  <si>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</si>
  <si>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</si>
  <si>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</si>
  <si>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</si>
  <si>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</si>
  <si>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</si>
  <si>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</si>
  <si>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</si>
  <si>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</si>
  <si>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</si>
  <si>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</si>
  <si>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</si>
  <si>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</si>
  <si>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</si>
  <si>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</si>
  <si>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</si>
  <si>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</si>
  <si>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</si>
  <si>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</si>
  <si>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</si>
  <si>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</si>
  <si>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</si>
  <si>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</si>
  <si>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</si>
  <si>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</si>
  <si>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</si>
  <si>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</si>
  <si>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</si>
  <si>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</si>
  <si>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</si>
  <si>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</si>
  <si>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</si>
  <si>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</si>
  <si>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</si>
  <si>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</si>
  <si>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</si>
  <si>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</si>
  <si>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</si>
  <si>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</si>
  <si>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</si>
  <si>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</si>
  <si>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</si>
  <si>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</si>
  <si>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</si>
  <si>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</si>
  <si>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</si>
  <si>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</si>
  <si>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</si>
  <si>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</si>
  <si>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</si>
  <si>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</si>
  <si>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</si>
  <si>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</si>
  <si>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</si>
  <si>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</si>
  <si>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</si>
  <si>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</si>
  <si>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</si>
  <si>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</si>
  <si>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</si>
  <si>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</si>
  <si>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</si>
  <si>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</si>
  <si>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</si>
  <si>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</si>
  <si>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</si>
  <si>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</si>
  <si>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</si>
  <si>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</si>
  <si>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</si>
  <si>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</si>
  <si>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</si>
  <si>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</si>
  <si>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</si>
  <si>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</si>
  <si>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</si>
  <si>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</si>
  <si>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</si>
  <si>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</si>
  <si>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</si>
  <si>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</si>
  <si>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</si>
  <si>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</si>
  <si>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</si>
  <si>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</si>
  <si>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</si>
  <si>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</si>
  <si>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</si>
  <si>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</si>
  <si>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</si>
  <si>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</si>
  <si>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</si>
  <si>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</si>
  <si>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</si>
  <si>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</si>
  <si>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</si>
  <si>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</si>
  <si>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</si>
  <si>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</si>
  <si>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</si>
  <si>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</si>
  <si>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</si>
  <si>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</si>
  <si>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</si>
  <si>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</si>
  <si>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</si>
  <si>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</si>
  <si>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</si>
  <si>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</si>
  <si>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</si>
  <si>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</si>
  <si>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</si>
  <si>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</si>
  <si>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</si>
  <si>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</si>
  <si>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</si>
  <si>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</si>
  <si>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</si>
  <si>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</si>
  <si>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</si>
  <si>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</si>
  <si>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</si>
  <si>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</si>
  <si>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</si>
  <si>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</si>
  <si>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</si>
  <si>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</si>
  <si>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</si>
  <si>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</si>
  <si>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</si>
  <si>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</si>
  <si>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</si>
  <si>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</si>
  <si>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</si>
  <si>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</t>
  </si>
  <si>
    <t xml:space="preserve">2027-03-02</t>
  </si>
  <si>
    <t xml:space="preserve">2027-03-03</t>
  </si>
  <si>
    <r>
      <rPr>
        <i val="true"/>
        <sz val="9"/>
        <rFont val="Noto Sans CJK SC"/>
        <family val="2"/>
      </rPr>
      <t xml:space="preserve">取得条件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羽田空港エリア</t>
    </r>
    <r>
      <rPr>
        <i val="true"/>
        <sz val="9"/>
        <rFont val="Arial"/>
        <family val="0"/>
        <charset val="1"/>
      </rPr>
      <t xml:space="preserve">(Hanedakuko--Japan) / </t>
    </r>
    <r>
      <rPr>
        <i val="true"/>
        <sz val="9"/>
        <rFont val="Noto Sans CJK SC"/>
        <family val="2"/>
      </rPr>
      <t xml:space="preserve">まるまる貸切 </t>
    </r>
    <r>
      <rPr>
        <i val="true"/>
        <sz val="9"/>
        <rFont val="Arial"/>
        <family val="0"/>
        <charset val="1"/>
      </rPr>
      <t xml:space="preserve">/ </t>
    </r>
    <r>
      <rPr>
        <i val="true"/>
        <sz val="9"/>
        <rFont val="Noto Sans CJK SC"/>
        <family val="2"/>
      </rPr>
      <t xml:space="preserve">ゲストチョイス </t>
    </r>
    <r>
      <rPr>
        <i val="true"/>
        <sz val="9"/>
        <rFont val="Arial"/>
        <family val="0"/>
        <charset val="1"/>
      </rPr>
      <t xml:space="preserve">/ </t>
    </r>
    <r>
      <rPr>
        <i val="true"/>
        <sz val="9"/>
        <rFont val="Noto Sans CJK SC"/>
        <family val="2"/>
      </rPr>
      <t xml:space="preserve">大人</t>
    </r>
    <r>
      <rPr>
        <i val="true"/>
        <sz val="9"/>
        <rFont val="Arial"/>
        <family val="0"/>
        <charset val="1"/>
      </rPr>
      <t xml:space="preserve">5</t>
    </r>
    <r>
      <rPr>
        <i val="true"/>
        <sz val="9"/>
        <rFont val="Noto Sans CJK SC"/>
        <family val="2"/>
      </rPr>
      <t xml:space="preserve">名 </t>
    </r>
    <r>
      <rPr>
        <i val="true"/>
        <sz val="9"/>
        <rFont val="Arial"/>
        <family val="0"/>
        <charset val="1"/>
      </rPr>
      <t xml:space="preserve">/ 1</t>
    </r>
    <r>
      <rPr>
        <i val="true"/>
        <sz val="9"/>
        <rFont val="Noto Sans CJK SC"/>
        <family val="2"/>
      </rPr>
      <t xml:space="preserve">泊</t>
    </r>
  </si>
  <si>
    <r>
      <rPr>
        <i val="true"/>
        <sz val="9"/>
        <rFont val="Noto Sans CJK SC"/>
        <family val="2"/>
      </rPr>
      <t xml:space="preserve">取得日</t>
    </r>
    <r>
      <rPr>
        <i val="true"/>
        <sz val="9"/>
        <rFont val="Arial"/>
        <family val="0"/>
        <charset val="1"/>
      </rPr>
      <t xml:space="preserve">: 2026-09-01 (Airbnb</t>
    </r>
    <r>
      <rPr>
        <i val="true"/>
        <sz val="9"/>
        <rFont val="Noto Sans CJK SC"/>
        <family val="2"/>
      </rPr>
      <t xml:space="preserve">検索結果</t>
    </r>
    <r>
      <rPr>
        <i val="true"/>
        <sz val="9"/>
        <rFont val="Arial"/>
        <family val="0"/>
        <charset val="1"/>
      </rPr>
      <t xml:space="preserve">SSR</t>
    </r>
    <r>
      <rPr>
        <i val="true"/>
        <sz val="9"/>
        <rFont val="Noto Sans CJK SC"/>
        <family val="2"/>
      </rPr>
      <t xml:space="preserve">の総件数を日別に取得</t>
    </r>
    <r>
      <rPr>
        <i val="true"/>
        <sz val="9"/>
        <rFont val="Arial"/>
        <family val="0"/>
        <charset val="1"/>
      </rPr>
      <t xml:space="preserve">)</t>
    </r>
  </si>
  <si>
    <t xml:space="preserve">日数</t>
  </si>
  <si>
    <t xml:space="preserve">平均</t>
  </si>
  <si>
    <t xml:space="preserve">最小</t>
  </si>
  <si>
    <t xml:space="preserve">最大</t>
  </si>
  <si>
    <t xml:space="preserve">期間全体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</si>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</sst>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羽田エリア 競合在庫数（ゲストチョイス×まるまる貸切×大人5名／1泊）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日別データ!D1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  <c:pt idx="30">
                  <c:v>2026-10-01</c:v>
                </c:pt>
                <c:pt idx="31">
                  <c:v>2026-10-02</c:v>
                </c:pt>
                <c:pt idx="32">
                  <c:v>2026-10-03</c:v>
                </c:pt>
                <c:pt idx="33">
                  <c:v>2026-10-04</c:v>
                </c:pt>
                <c:pt idx="34">
                  <c:v>2026-10-05</c:v>
                </c:pt>
                <c:pt idx="35">
                  <c:v>2026-10-06</c:v>
                </c:pt>
                <c:pt idx="36">
                  <c:v>2026-10-07</c:v>
                </c:pt>
                <c:pt idx="37">
                  <c:v>2026-10-08</c:v>
                </c:pt>
                <c:pt idx="38">
                  <c:v>2026-10-09</c:v>
                </c:pt>
                <c:pt idx="39">
                  <c:v>2026-10-10</c:v>
                </c:pt>
                <c:pt idx="40">
                  <c:v>2026-10-11</c:v>
                </c:pt>
                <c:pt idx="41">
                  <c:v>2026-10-12</c:v>
                </c:pt>
                <c:pt idx="42">
                  <c:v>2026-10-13</c:v>
                </c:pt>
                <c:pt idx="43">
                  <c:v>2026-10-14</c:v>
                </c:pt>
                <c:pt idx="44">
                  <c:v>2026-10-15</c:v>
                </c:pt>
                <c:pt idx="45">
                  <c:v>2026-10-16</c:v>
                </c:pt>
                <c:pt idx="46">
                  <c:v>2026-10-17</c:v>
                </c:pt>
                <c:pt idx="47">
                  <c:v>2026-10-18</c:v>
                </c:pt>
                <c:pt idx="48">
                  <c:v>2026-10-19</c:v>
                </c:pt>
                <c:pt idx="49">
                  <c:v>2026-10-20</c:v>
                </c:pt>
                <c:pt idx="50">
                  <c:v>2026-10-21</c:v>
                </c:pt>
                <c:pt idx="51">
                  <c:v>2026-10-22</c:v>
                </c:pt>
                <c:pt idx="52">
                  <c:v>2026-10-23</c:v>
                </c:pt>
                <c:pt idx="53">
                  <c:v>2026-10-24</c:v>
                </c:pt>
                <c:pt idx="54">
                  <c:v>2026-10-25</c:v>
                </c:pt>
                <c:pt idx="55">
                  <c:v>2026-10-26</c:v>
                </c:pt>
                <c:pt idx="56">
                  <c:v>2026-10-27</c:v>
                </c:pt>
                <c:pt idx="57">
                  <c:v>2026-10-28</c:v>
                </c:pt>
                <c:pt idx="58">
                  <c:v>2026-10-29</c:v>
                </c:pt>
                <c:pt idx="59">
                  <c:v>2026-10-30</c:v>
                </c:pt>
                <c:pt idx="60">
                  <c:v>2026-10-31</c:v>
                </c:pt>
                <c:pt idx="61">
                  <c:v>2026-11-01</c:v>
                </c:pt>
                <c:pt idx="62">
                  <c:v>2026-11-02</c:v>
                </c:pt>
                <c:pt idx="63">
                  <c:v>2026-11-03</c:v>
                </c:pt>
                <c:pt idx="64">
                  <c:v>2026-11-04</c:v>
                </c:pt>
                <c:pt idx="65">
                  <c:v>2026-11-05</c:v>
                </c:pt>
                <c:pt idx="66">
                  <c:v>2026-11-06</c:v>
                </c:pt>
                <c:pt idx="67">
                  <c:v>2026-11-07</c:v>
                </c:pt>
                <c:pt idx="68">
                  <c:v>2026-11-08</c:v>
                </c:pt>
                <c:pt idx="69">
                  <c:v>2026-11-09</c:v>
                </c:pt>
                <c:pt idx="70">
                  <c:v>2026-11-10</c:v>
                </c:pt>
                <c:pt idx="71">
                  <c:v>2026-11-11</c:v>
                </c:pt>
                <c:pt idx="72">
                  <c:v>2026-11-12</c:v>
                </c:pt>
                <c:pt idx="73">
                  <c:v>2026-11-13</c:v>
                </c:pt>
                <c:pt idx="74">
                  <c:v>2026-11-14</c:v>
                </c:pt>
                <c:pt idx="75">
                  <c:v>2026-11-15</c:v>
                </c:pt>
                <c:pt idx="76">
                  <c:v>2026-11-16</c:v>
                </c:pt>
                <c:pt idx="77">
                  <c:v>2026-11-17</c:v>
                </c:pt>
                <c:pt idx="78">
                  <c:v>2026-11-18</c:v>
                </c:pt>
                <c:pt idx="79">
                  <c:v>2026-11-19</c:v>
                </c:pt>
                <c:pt idx="80">
                  <c:v>2026-11-20</c:v>
                </c:pt>
                <c:pt idx="81">
                  <c:v>2026-11-21</c:v>
                </c:pt>
                <c:pt idx="82">
                  <c:v>2026-11-22</c:v>
                </c:pt>
                <c:pt idx="83">
                  <c:v>2026-11-23</c:v>
                </c:pt>
                <c:pt idx="84">
                  <c:v>2026-11-24</c:v>
                </c:pt>
                <c:pt idx="85">
                  <c:v>2026-11-25</c:v>
                </c:pt>
                <c:pt idx="86">
                  <c:v>2026-11-26</c:v>
                </c:pt>
                <c:pt idx="87">
                  <c:v>2026-11-27</c:v>
                </c:pt>
                <c:pt idx="88">
                  <c:v>2026-11-28</c:v>
                </c:pt>
                <c:pt idx="89">
                  <c:v>2026-11-29</c:v>
                </c:pt>
                <c:pt idx="90">
                  <c:v>2026-11-30</c:v>
                </c:pt>
                <c:pt idx="91">
                  <c:v>2026-12-01</c:v>
                </c:pt>
                <c:pt idx="92">
                  <c:v>2026-12-02</c:v>
                </c:pt>
                <c:pt idx="93">
                  <c:v>2026-12-03</c:v>
                </c:pt>
                <c:pt idx="94">
                  <c:v>2026-12-04</c:v>
                </c:pt>
                <c:pt idx="95">
                  <c:v>2026-12-05</c:v>
                </c:pt>
                <c:pt idx="96">
                  <c:v>2026-12-06</c:v>
                </c:pt>
                <c:pt idx="97">
                  <c:v>2026-12-07</c:v>
                </c:pt>
                <c:pt idx="98">
                  <c:v>2026-12-08</c:v>
                </c:pt>
                <c:pt idx="99">
                  <c:v>2026-12-09</c:v>
                </c:pt>
                <c:pt idx="100">
                  <c:v>2026-12-10</c:v>
                </c:pt>
                <c:pt idx="101">
                  <c:v>2026-12-11</c:v>
                </c:pt>
                <c:pt idx="102">
                  <c:v>2026-12-12</c:v>
                </c:pt>
                <c:pt idx="103">
                  <c:v>2026-12-13</c:v>
                </c:pt>
                <c:pt idx="104">
                  <c:v>2026-12-14</c:v>
                </c:pt>
                <c:pt idx="105">
                  <c:v>2026-12-15</c:v>
                </c:pt>
                <c:pt idx="106">
                  <c:v>2026-12-16</c:v>
                </c:pt>
                <c:pt idx="107">
                  <c:v>2026-12-17</c:v>
                </c:pt>
                <c:pt idx="108">
                  <c:v>2026-12-18</c:v>
                </c:pt>
                <c:pt idx="109">
                  <c:v>2026-12-19</c:v>
                </c:pt>
                <c:pt idx="110">
                  <c:v>2026-12-20</c:v>
                </c:pt>
                <c:pt idx="111">
                  <c:v>2026-12-21</c:v>
                </c:pt>
                <c:pt idx="112">
                  <c:v>2026-12-22</c:v>
                </c:pt>
                <c:pt idx="113">
                  <c:v>2026-12-23</c:v>
                </c:pt>
                <c:pt idx="114">
                  <c:v>2026-12-24</c:v>
                </c:pt>
                <c:pt idx="115">
                  <c:v>2026-12-25</c:v>
                </c:pt>
                <c:pt idx="116">
                  <c:v>2026-12-26</c:v>
                </c:pt>
                <c:pt idx="117">
                  <c:v>2026-12-27</c:v>
                </c:pt>
                <c:pt idx="118">
                  <c:v>2026-12-28</c:v>
                </c:pt>
                <c:pt idx="119">
                  <c:v>2026-12-29</c:v>
                </c:pt>
                <c:pt idx="120">
                  <c:v>2026-12-30</c:v>
                </c:pt>
                <c:pt idx="121">
                  <c:v>2026-12-31</c:v>
                </c:pt>
                <c:pt idx="122">
                  <c:v>2027-01-01</c:v>
                </c:pt>
                <c:pt idx="123">
                  <c:v>2027-01-02</c:v>
                </c:pt>
                <c:pt idx="124">
                  <c:v>2027-01-03</c:v>
                </c:pt>
                <c:pt idx="125">
                  <c:v>2027-01-04</c:v>
                </c:pt>
                <c:pt idx="126">
                  <c:v>2027-01-05</c:v>
                </c:pt>
                <c:pt idx="127">
                  <c:v>2027-01-06</c:v>
                </c:pt>
                <c:pt idx="128">
                  <c:v>2027-01-07</c:v>
                </c:pt>
                <c:pt idx="129">
                  <c:v>2027-01-08</c:v>
                </c:pt>
                <c:pt idx="130">
                  <c:v>2027-01-09</c:v>
                </c:pt>
                <c:pt idx="131">
                  <c:v>2027-01-10</c:v>
                </c:pt>
                <c:pt idx="132">
                  <c:v>2027-01-11</c:v>
                </c:pt>
                <c:pt idx="133">
                  <c:v>2027-01-12</c:v>
                </c:pt>
                <c:pt idx="134">
                  <c:v>2027-01-13</c:v>
                </c:pt>
                <c:pt idx="135">
                  <c:v>2027-01-14</c:v>
                </c:pt>
                <c:pt idx="136">
                  <c:v>2027-01-15</c:v>
                </c:pt>
                <c:pt idx="137">
                  <c:v>2027-01-16</c:v>
                </c:pt>
                <c:pt idx="138">
                  <c:v>2027-01-17</c:v>
                </c:pt>
                <c:pt idx="139">
                  <c:v>2027-01-18</c:v>
                </c:pt>
                <c:pt idx="140">
                  <c:v>2027-01-19</c:v>
                </c:pt>
                <c:pt idx="141">
                  <c:v>2027-01-20</c:v>
                </c:pt>
                <c:pt idx="142">
                  <c:v>2027-01-21</c:v>
                </c:pt>
                <c:pt idx="143">
                  <c:v>2027-01-22</c:v>
                </c:pt>
                <c:pt idx="144">
                  <c:v>2027-01-23</c:v>
                </c:pt>
                <c:pt idx="145">
                  <c:v>2027-01-24</c:v>
                </c:pt>
                <c:pt idx="146">
                  <c:v>2027-01-25</c:v>
                </c:pt>
                <c:pt idx="147">
                  <c:v>2027-01-26</c:v>
                </c:pt>
                <c:pt idx="148">
                  <c:v>2027-01-27</c:v>
                </c:pt>
                <c:pt idx="149">
                  <c:v>2027-01-28</c:v>
                </c:pt>
                <c:pt idx="150">
                  <c:v>2027-01-29</c:v>
                </c:pt>
                <c:pt idx="151">
                  <c:v>2027-01-30</c:v>
                </c:pt>
                <c:pt idx="152">
                  <c:v>2027-01-31</c:v>
                </c:pt>
                <c:pt idx="153">
                  <c:v>2027-02-01</c:v>
                </c:pt>
                <c:pt idx="154">
                  <c:v>2027-02-02</c:v>
                </c:pt>
                <c:pt idx="155">
                  <c:v>2027-02-03</c:v>
                </c:pt>
                <c:pt idx="156">
                  <c:v>2027-02-04</c:v>
                </c:pt>
                <c:pt idx="157">
                  <c:v>2027-02-05</c:v>
                </c:pt>
                <c:pt idx="158">
                  <c:v>2027-02-06</c:v>
                </c:pt>
                <c:pt idx="159">
                  <c:v>2027-02-07</c:v>
                </c:pt>
                <c:pt idx="160">
                  <c:v>2027-02-08</c:v>
                </c:pt>
                <c:pt idx="161">
                  <c:v>2027-02-09</c:v>
                </c:pt>
                <c:pt idx="162">
                  <c:v>2027-02-10</c:v>
                </c:pt>
                <c:pt idx="163">
                  <c:v>2027-02-11</c:v>
                </c:pt>
                <c:pt idx="164">
                  <c:v>2027-02-12</c:v>
                </c:pt>
                <c:pt idx="165">
                  <c:v>2027-02-13</c:v>
                </c:pt>
                <c:pt idx="166">
                  <c:v>2027-02-14</c:v>
                </c:pt>
                <c:pt idx="167">
                  <c:v>2027-02-15</c:v>
                </c:pt>
                <c:pt idx="168">
                  <c:v>2027-02-16</c:v>
                </c:pt>
                <c:pt idx="169">
                  <c:v>2027-02-17</c:v>
                </c:pt>
                <c:pt idx="170">
                  <c:v>2027-02-18</c:v>
                </c:pt>
                <c:pt idx="171">
                  <c:v>2027-02-19</c:v>
                </c:pt>
                <c:pt idx="172">
                  <c:v>2027-02-20</c:v>
                </c:pt>
                <c:pt idx="173">
                  <c:v>2027-02-21</c:v>
                </c:pt>
                <c:pt idx="174">
                  <c:v>2027-02-22</c:v>
                </c:pt>
                <c:pt idx="175">
                  <c:v>2027-02-23</c:v>
                </c:pt>
                <c:pt idx="176">
                  <c:v>2027-02-24</c:v>
                </c:pt>
                <c:pt idx="177">
                  <c:v>2027-02-25</c:v>
                </c:pt>
                <c:pt idx="178">
                  <c:v>2027-02-26</c:v>
                </c:pt>
                <c:pt idx="179">
                  <c:v>2027-02-27</c:v>
                </c:pt>
                <c:pt idx="180">
                  <c:v>2027-02-28</c:v>
                </c:pt>
                <c:pt idx="181">
                  <c:v>2027-03-01</c:v>
                </c:pt>
                <c:pt idx="182">
                  <c:v>2027-03-02</c:v>
                </c:pt>
                <c:pt idx="183">
                  <c:v>2027-03-03</c:v>
                </c:pt>
              </c:strCache>
            </c:strRef>
          </c:cat>
          <c:val>
            <c:numRef>
              <c:f>日別データ!$D$2:$D$185</c:f>
              <c:numCache>
                <c:formatCode>General</c:formatCode>
                <c:ptCount val="184"/>
                <c:pt idx="0">
                  <c:v>361</c:v>
                </c:pt>
                <c:pt idx="1">
                  <c:v>462</c:v>
                </c:pt>
                <c:pt idx="2">
                  <c:v>438</c:v>
                </c:pt>
                <c:pt idx="3">
                  <c:v>372</c:v>
                </c:pt>
                <c:pt idx="4">
                  <c:v>336</c:v>
                </c:pt>
                <c:pt idx="5">
                  <c:v>446</c:v>
                </c:pt>
                <c:pt idx="6">
                  <c:v>479</c:v>
                </c:pt>
                <c:pt idx="7">
                  <c:v>489</c:v>
                </c:pt>
                <c:pt idx="8">
                  <c:v>474</c:v>
                </c:pt>
                <c:pt idx="9">
                  <c:v>444</c:v>
                </c:pt>
                <c:pt idx="10">
                  <c:v>417</c:v>
                </c:pt>
                <c:pt idx="11">
                  <c:v>361</c:v>
                </c:pt>
                <c:pt idx="12">
                  <c:v>454</c:v>
                </c:pt>
                <c:pt idx="13">
                  <c:v>459</c:v>
                </c:pt>
                <c:pt idx="14">
                  <c:v>492</c:v>
                </c:pt>
                <c:pt idx="15">
                  <c:v>471</c:v>
                </c:pt>
                <c:pt idx="16">
                  <c:v>420</c:v>
                </c:pt>
                <c:pt idx="17">
                  <c:v>348</c:v>
                </c:pt>
                <c:pt idx="18">
                  <c:v>177</c:v>
                </c:pt>
                <c:pt idx="19">
                  <c:v>120</c:v>
                </c:pt>
                <c:pt idx="20">
                  <c:v>195</c:v>
                </c:pt>
                <c:pt idx="21">
                  <c:v>282</c:v>
                </c:pt>
                <c:pt idx="22">
                  <c:v>382</c:v>
                </c:pt>
                <c:pt idx="23">
                  <c:v>378</c:v>
                </c:pt>
                <c:pt idx="24">
                  <c:v>369</c:v>
                </c:pt>
                <c:pt idx="25">
                  <c:v>352</c:v>
                </c:pt>
                <c:pt idx="26">
                  <c:v>435</c:v>
                </c:pt>
                <c:pt idx="27">
                  <c:v>450</c:v>
                </c:pt>
                <c:pt idx="28">
                  <c:v>436</c:v>
                </c:pt>
                <c:pt idx="29">
                  <c:v>402</c:v>
                </c:pt>
                <c:pt idx="30">
                  <c:v>328</c:v>
                </c:pt>
                <c:pt idx="31">
                  <c:v>265</c:v>
                </c:pt>
                <c:pt idx="32">
                  <c:v>216</c:v>
                </c:pt>
                <c:pt idx="33">
                  <c:v>257</c:v>
                </c:pt>
                <c:pt idx="34">
                  <c:v>263</c:v>
                </c:pt>
                <c:pt idx="35">
                  <c:v>295</c:v>
                </c:pt>
                <c:pt idx="36">
                  <c:v>304</c:v>
                </c:pt>
                <c:pt idx="37">
                  <c:v>269</c:v>
                </c:pt>
                <c:pt idx="38">
                  <c:v>272</c:v>
                </c:pt>
                <c:pt idx="39">
                  <c:v>192</c:v>
                </c:pt>
                <c:pt idx="40">
                  <c:v>216</c:v>
                </c:pt>
                <c:pt idx="41">
                  <c:v>299</c:v>
                </c:pt>
                <c:pt idx="42">
                  <c:v>303</c:v>
                </c:pt>
                <c:pt idx="43">
                  <c:v>316</c:v>
                </c:pt>
                <c:pt idx="44">
                  <c:v>267</c:v>
                </c:pt>
                <c:pt idx="45">
                  <c:v>249</c:v>
                </c:pt>
                <c:pt idx="46">
                  <c:v>224</c:v>
                </c:pt>
                <c:pt idx="47">
                  <c:v>279</c:v>
                </c:pt>
                <c:pt idx="48">
                  <c:v>295</c:v>
                </c:pt>
                <c:pt idx="49">
                  <c:v>317</c:v>
                </c:pt>
                <c:pt idx="50">
                  <c:v>305</c:v>
                </c:pt>
                <c:pt idx="51">
                  <c:v>292</c:v>
                </c:pt>
                <c:pt idx="52">
                  <c:v>282</c:v>
                </c:pt>
                <c:pt idx="53">
                  <c:v>254</c:v>
                </c:pt>
                <c:pt idx="54">
                  <c:v>298</c:v>
                </c:pt>
                <c:pt idx="55">
                  <c:v>311</c:v>
                </c:pt>
                <c:pt idx="56">
                  <c:v>343</c:v>
                </c:pt>
                <c:pt idx="57">
                  <c:v>331</c:v>
                </c:pt>
                <c:pt idx="58">
                  <c:v>309</c:v>
                </c:pt>
                <c:pt idx="59">
                  <c:v>293</c:v>
                </c:pt>
                <c:pt idx="60">
                  <c:v>283</c:v>
                </c:pt>
                <c:pt idx="61">
                  <c:v>332</c:v>
                </c:pt>
                <c:pt idx="62">
                  <c:v>375</c:v>
                </c:pt>
                <c:pt idx="63">
                  <c:v>374</c:v>
                </c:pt>
                <c:pt idx="64">
                  <c:v>381</c:v>
                </c:pt>
                <c:pt idx="65">
                  <c:v>378</c:v>
                </c:pt>
                <c:pt idx="66">
                  <c:v>343</c:v>
                </c:pt>
                <c:pt idx="67">
                  <c:v>317</c:v>
                </c:pt>
                <c:pt idx="68">
                  <c:v>351</c:v>
                </c:pt>
                <c:pt idx="69">
                  <c:v>368</c:v>
                </c:pt>
                <c:pt idx="70">
                  <c:v>390</c:v>
                </c:pt>
                <c:pt idx="71">
                  <c:v>385</c:v>
                </c:pt>
                <c:pt idx="72">
                  <c:v>361</c:v>
                </c:pt>
                <c:pt idx="73">
                  <c:v>357</c:v>
                </c:pt>
                <c:pt idx="74">
                  <c:v>356</c:v>
                </c:pt>
                <c:pt idx="75">
                  <c:v>386</c:v>
                </c:pt>
                <c:pt idx="76">
                  <c:v>407</c:v>
                </c:pt>
                <c:pt idx="77">
                  <c:v>422</c:v>
                </c:pt>
                <c:pt idx="78">
                  <c:v>405</c:v>
                </c:pt>
                <c:pt idx="79">
                  <c:v>371</c:v>
                </c:pt>
                <c:pt idx="80">
                  <c:v>337</c:v>
                </c:pt>
                <c:pt idx="81">
                  <c:v>283</c:v>
                </c:pt>
                <c:pt idx="82">
                  <c:v>314</c:v>
                </c:pt>
                <c:pt idx="83">
                  <c:v>367</c:v>
                </c:pt>
                <c:pt idx="84">
                  <c:v>390</c:v>
                </c:pt>
                <c:pt idx="85">
                  <c:v>405</c:v>
                </c:pt>
                <c:pt idx="86">
                  <c:v>407</c:v>
                </c:pt>
                <c:pt idx="87">
                  <c:v>384</c:v>
                </c:pt>
                <c:pt idx="88">
                  <c:v>368</c:v>
                </c:pt>
                <c:pt idx="89">
                  <c:v>426</c:v>
                </c:pt>
                <c:pt idx="90">
                  <c:v>459</c:v>
                </c:pt>
                <c:pt idx="91">
                  <c:v>460</c:v>
                </c:pt>
                <c:pt idx="92">
                  <c:v>444</c:v>
                </c:pt>
                <c:pt idx="93">
                  <c:v>434</c:v>
                </c:pt>
                <c:pt idx="94">
                  <c:v>436</c:v>
                </c:pt>
                <c:pt idx="95">
                  <c:v>444</c:v>
                </c:pt>
                <c:pt idx="96">
                  <c:v>477</c:v>
                </c:pt>
                <c:pt idx="97">
                  <c:v>489</c:v>
                </c:pt>
                <c:pt idx="98">
                  <c:v>494</c:v>
                </c:pt>
                <c:pt idx="99">
                  <c:v>484</c:v>
                </c:pt>
                <c:pt idx="100">
                  <c:v>474</c:v>
                </c:pt>
                <c:pt idx="101">
                  <c:v>468</c:v>
                </c:pt>
                <c:pt idx="102">
                  <c:v>458</c:v>
                </c:pt>
                <c:pt idx="103">
                  <c:v>492</c:v>
                </c:pt>
                <c:pt idx="104">
                  <c:v>484</c:v>
                </c:pt>
                <c:pt idx="105">
                  <c:v>482</c:v>
                </c:pt>
                <c:pt idx="106">
                  <c:v>474</c:v>
                </c:pt>
                <c:pt idx="107">
                  <c:v>479</c:v>
                </c:pt>
                <c:pt idx="108">
                  <c:v>467</c:v>
                </c:pt>
                <c:pt idx="109">
                  <c:v>428</c:v>
                </c:pt>
                <c:pt idx="110">
                  <c:v>443</c:v>
                </c:pt>
                <c:pt idx="111">
                  <c:v>440</c:v>
                </c:pt>
                <c:pt idx="112">
                  <c:v>444</c:v>
                </c:pt>
                <c:pt idx="113">
                  <c:v>422</c:v>
                </c:pt>
                <c:pt idx="114">
                  <c:v>417</c:v>
                </c:pt>
                <c:pt idx="115">
                  <c:v>381</c:v>
                </c:pt>
                <c:pt idx="116">
                  <c:v>350</c:v>
                </c:pt>
                <c:pt idx="117">
                  <c:v>330</c:v>
                </c:pt>
                <c:pt idx="118">
                  <c:v>315</c:v>
                </c:pt>
                <c:pt idx="119">
                  <c:v>297</c:v>
                </c:pt>
                <c:pt idx="120">
                  <c:v>289</c:v>
                </c:pt>
                <c:pt idx="121">
                  <c:v>280</c:v>
                </c:pt>
                <c:pt idx="122">
                  <c:v>311</c:v>
                </c:pt>
                <c:pt idx="123">
                  <c:v>381</c:v>
                </c:pt>
                <c:pt idx="124">
                  <c:v>464</c:v>
                </c:pt>
                <c:pt idx="125">
                  <c:v>509</c:v>
                </c:pt>
                <c:pt idx="126">
                  <c:v>533</c:v>
                </c:pt>
                <c:pt idx="127">
                  <c:v>527</c:v>
                </c:pt>
                <c:pt idx="128">
                  <c:v>522</c:v>
                </c:pt>
                <c:pt idx="129">
                  <c:v>505</c:v>
                </c:pt>
                <c:pt idx="130">
                  <c:v>507</c:v>
                </c:pt>
                <c:pt idx="131">
                  <c:v>523</c:v>
                </c:pt>
                <c:pt idx="132">
                  <c:v>546</c:v>
                </c:pt>
                <c:pt idx="133">
                  <c:v>543</c:v>
                </c:pt>
                <c:pt idx="134">
                  <c:v>550</c:v>
                </c:pt>
                <c:pt idx="135">
                  <c:v>553</c:v>
                </c:pt>
                <c:pt idx="136">
                  <c:v>531</c:v>
                </c:pt>
                <c:pt idx="137">
                  <c:v>525</c:v>
                </c:pt>
                <c:pt idx="138">
                  <c:v>567</c:v>
                </c:pt>
                <c:pt idx="139">
                  <c:v>574</c:v>
                </c:pt>
                <c:pt idx="140">
                  <c:v>571</c:v>
                </c:pt>
                <c:pt idx="141">
                  <c:v>576</c:v>
                </c:pt>
                <c:pt idx="142">
                  <c:v>558</c:v>
                </c:pt>
                <c:pt idx="143">
                  <c:v>539</c:v>
                </c:pt>
                <c:pt idx="144">
                  <c:v>546</c:v>
                </c:pt>
                <c:pt idx="145">
                  <c:v>575</c:v>
                </c:pt>
                <c:pt idx="146">
                  <c:v>577</c:v>
                </c:pt>
                <c:pt idx="147">
                  <c:v>574</c:v>
                </c:pt>
                <c:pt idx="148">
                  <c:v>572</c:v>
                </c:pt>
                <c:pt idx="149">
                  <c:v>571</c:v>
                </c:pt>
                <c:pt idx="150">
                  <c:v>562</c:v>
                </c:pt>
                <c:pt idx="151">
                  <c:v>555</c:v>
                </c:pt>
                <c:pt idx="152">
                  <c:v>594</c:v>
                </c:pt>
                <c:pt idx="153">
                  <c:v>598</c:v>
                </c:pt>
                <c:pt idx="154">
                  <c:v>586</c:v>
                </c:pt>
                <c:pt idx="155">
                  <c:v>586</c:v>
                </c:pt>
                <c:pt idx="156">
                  <c:v>580</c:v>
                </c:pt>
                <c:pt idx="157">
                  <c:v>555</c:v>
                </c:pt>
                <c:pt idx="158">
                  <c:v>533</c:v>
                </c:pt>
                <c:pt idx="159">
                  <c:v>552</c:v>
                </c:pt>
                <c:pt idx="160">
                  <c:v>550</c:v>
                </c:pt>
                <c:pt idx="161">
                  <c:v>576</c:v>
                </c:pt>
                <c:pt idx="162">
                  <c:v>579</c:v>
                </c:pt>
                <c:pt idx="163">
                  <c:v>566</c:v>
                </c:pt>
                <c:pt idx="164">
                  <c:v>552</c:v>
                </c:pt>
                <c:pt idx="165">
                  <c:v>553</c:v>
                </c:pt>
                <c:pt idx="166">
                  <c:v>584</c:v>
                </c:pt>
                <c:pt idx="167">
                  <c:v>586</c:v>
                </c:pt>
                <c:pt idx="168">
                  <c:v>577</c:v>
                </c:pt>
                <c:pt idx="169">
                  <c:v>572</c:v>
                </c:pt>
                <c:pt idx="170">
                  <c:v>575</c:v>
                </c:pt>
                <c:pt idx="171">
                  <c:v>559</c:v>
                </c:pt>
                <c:pt idx="172">
                  <c:v>559</c:v>
                </c:pt>
                <c:pt idx="173">
                  <c:v>592</c:v>
                </c:pt>
                <c:pt idx="174">
                  <c:v>592</c:v>
                </c:pt>
                <c:pt idx="175">
                  <c:v>592</c:v>
                </c:pt>
                <c:pt idx="176">
                  <c:v>587</c:v>
                </c:pt>
                <c:pt idx="177">
                  <c:v>587</c:v>
                </c:pt>
                <c:pt idx="178">
                  <c:v>574</c:v>
                </c:pt>
                <c:pt idx="179">
                  <c:v>570</c:v>
                </c:pt>
                <c:pt idx="180">
                  <c:v>515</c:v>
                </c:pt>
                <c:pt idx="181">
                  <c:v>504</c:v>
                </c:pt>
                <c:pt idx="182">
                  <c:v>497</c:v>
                </c:pt>
                <c:pt idx="183">
                  <c:v>490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470538"/>
        <c:axId val="41162991"/>
      </c:lineChart>
      <c:catAx>
        <c:axId val="514705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162991"/>
        <c:crosses val="autoZero"/>
        <c:auto val="1"/>
        <c:lblAlgn val="ctr"/>
        <c:lblOffset val="100"/>
        <c:noMultiLvlLbl val="0"/>
      </c:catAx>
      <c:valAx>
        <c:axId val="411629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4705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17</xdr:col>
      <xdr:colOff>403920</xdr:colOff>
      <xdr:row>18</xdr:row>
      <xdr:rowOff>170640</xdr:rowOff>
    </xdr:to>
    <xdr:graphicFrame>
      <xdr:nvGraphicFramePr>
        <xdr:cNvPr id="1" name="Chart 1"/>
        <xdr:cNvGraphicFramePr/>
      </xdr:nvGraphicFramePr>
      <xdr:xfrm>
        <a:off x="0" y="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5" t="s">
        <v>2</v>
      </c>
      <c r="B1" s="5" t="s">
        <v>204</v>
      </c>
      <c r="C1" s="5" t="s">
        <v>205</v>
      </c>
      <c r="D1" s="5" t="s">
        <v>206</v>
      </c>
      <c r="E1" s="5" t="s">
        <v>207</v>
      </c>
    </row>
    <row r="2" customFormat="false" ht="15" hidden="false" customHeight="false" outlineLevel="0" collapsed="false">
      <c r="A2" s="2" t="s">
        <v>6</v>
      </c>
      <c r="B2" s="2" t="n">
        <f aca="false">COUNTIF(日別データ!$C$2:$C$185,A2)</f>
        <v>30</v>
      </c>
      <c r="C2" s="2" t="n">
        <f aca="false">ROUND(SUMIF(日別データ!$C$2:$C$185,A2,日別データ!$D$2:$D$185)/B2,1)</f>
        <v>390</v>
      </c>
      <c r="D2" s="2" t="n">
        <f aca="false">_xlfn.MINIFS(日別データ!$D$2:$D$185,日別データ!$C$2:$C$185,A2)</f>
        <v>120</v>
      </c>
      <c r="E2" s="2" t="n">
        <f aca="false">_xlfn.MAXIFS(日別データ!$D$2:$D$185,日別データ!$C$2:$C$185,A2)</f>
        <v>492</v>
      </c>
    </row>
    <row r="3" customFormat="false" ht="15" hidden="false" customHeight="false" outlineLevel="0" collapsed="false">
      <c r="A3" s="2" t="s">
        <v>43</v>
      </c>
      <c r="B3" s="2" t="n">
        <f aca="false">COUNTIF(日別データ!$C$2:$C$185,A3)</f>
        <v>31</v>
      </c>
      <c r="C3" s="2" t="n">
        <f aca="false">ROUND(SUMIF(日別データ!$C$2:$C$185,A3,日別データ!$D$2:$D$185)/B3,1)</f>
        <v>281.5</v>
      </c>
      <c r="D3" s="2" t="n">
        <f aca="false">_xlfn.MINIFS(日別データ!$D$2:$D$185,日別データ!$C$2:$C$185,A3)</f>
        <v>192</v>
      </c>
      <c r="E3" s="2" t="n">
        <f aca="false">_xlfn.MAXIFS(日別データ!$D$2:$D$185,日別データ!$C$2:$C$185,A3)</f>
        <v>343</v>
      </c>
    </row>
    <row r="4" customFormat="false" ht="15" hidden="false" customHeight="false" outlineLevel="0" collapsed="false">
      <c r="A4" s="2" t="s">
        <v>75</v>
      </c>
      <c r="B4" s="2" t="n">
        <f aca="false">COUNTIF(日別データ!$C$2:$C$185,A4)</f>
        <v>30</v>
      </c>
      <c r="C4" s="2" t="n">
        <f aca="false">ROUND(SUMIF(日別データ!$C$2:$C$185,A4,日別データ!$D$2:$D$185)/B4,1)</f>
        <v>373.3</v>
      </c>
      <c r="D4" s="2" t="n">
        <f aca="false">_xlfn.MINIFS(日別データ!$D$2:$D$185,日別データ!$C$2:$C$185,A4)</f>
        <v>283</v>
      </c>
      <c r="E4" s="2" t="n">
        <f aca="false">_xlfn.MAXIFS(日別データ!$D$2:$D$185,日別データ!$C$2:$C$185,A4)</f>
        <v>459</v>
      </c>
    </row>
    <row r="5" customFormat="false" ht="15" hidden="false" customHeight="false" outlineLevel="0" collapsed="false">
      <c r="A5" s="2" t="s">
        <v>106</v>
      </c>
      <c r="B5" s="2" t="n">
        <f aca="false">COUNTIF(日別データ!$C$2:$C$185,A5)</f>
        <v>31</v>
      </c>
      <c r="C5" s="2" t="n">
        <f aca="false">ROUND(SUMIF(日別データ!$C$2:$C$185,A5,日別データ!$D$2:$D$185)/B5,1)</f>
        <v>428.3</v>
      </c>
      <c r="D5" s="2" t="n">
        <f aca="false">_xlfn.MINIFS(日別データ!$D$2:$D$185,日別データ!$C$2:$C$185,A5)</f>
        <v>280</v>
      </c>
      <c r="E5" s="2" t="n">
        <f aca="false">_xlfn.MAXIFS(日別データ!$D$2:$D$185,日別データ!$C$2:$C$185,A5)</f>
        <v>494</v>
      </c>
    </row>
    <row r="6" customFormat="false" ht="15" hidden="false" customHeight="false" outlineLevel="0" collapsed="false">
      <c r="A6" s="2" t="s">
        <v>138</v>
      </c>
      <c r="B6" s="2" t="n">
        <f aca="false">COUNTIF(日別データ!$C$2:$C$185,A6)</f>
        <v>31</v>
      </c>
      <c r="C6" s="2" t="n">
        <f aca="false">ROUND(SUMIF(日別データ!$C$2:$C$185,A6,日別データ!$D$2:$D$185)/B6,1)</f>
        <v>533.6</v>
      </c>
      <c r="D6" s="2" t="n">
        <f aca="false">_xlfn.MINIFS(日別データ!$D$2:$D$185,日別データ!$C$2:$C$185,A6)</f>
        <v>311</v>
      </c>
      <c r="E6" s="2" t="n">
        <f aca="false">_xlfn.MAXIFS(日別データ!$D$2:$D$185,日別データ!$C$2:$C$185,A6)</f>
        <v>594</v>
      </c>
    </row>
    <row r="7" customFormat="false" ht="15" hidden="false" customHeight="false" outlineLevel="0" collapsed="false">
      <c r="A7" s="2" t="s">
        <v>170</v>
      </c>
      <c r="B7" s="2" t="n">
        <f aca="false">COUNTIF(日別データ!$C$2:$C$185,A7)</f>
        <v>28</v>
      </c>
      <c r="C7" s="2" t="n">
        <f aca="false">ROUND(SUMIF(日別データ!$C$2:$C$185,A7,日別データ!$D$2:$D$185)/B7,1)</f>
        <v>571</v>
      </c>
      <c r="D7" s="2" t="n">
        <f aca="false">_xlfn.MINIFS(日別データ!$D$2:$D$185,日別データ!$C$2:$C$185,A7)</f>
        <v>515</v>
      </c>
      <c r="E7" s="2" t="n">
        <f aca="false">_xlfn.MAXIFS(日別データ!$D$2:$D$185,日別データ!$C$2:$C$185,A7)</f>
        <v>598</v>
      </c>
    </row>
    <row r="8" customFormat="false" ht="15" hidden="false" customHeight="false" outlineLevel="0" collapsed="false">
      <c r="A8" s="2" t="s">
        <v>199</v>
      </c>
      <c r="B8" s="2" t="n">
        <f aca="false">COUNTIF(日別データ!$C$2:$C$185,A8)</f>
        <v>3</v>
      </c>
      <c r="C8" s="2" t="n">
        <f aca="false">ROUND(SUMIF(日別データ!$C$2:$C$185,A8,日別データ!$D$2:$D$185)/B8,1)</f>
        <v>497</v>
      </c>
      <c r="D8" s="2" t="n">
        <f aca="false">_xlfn.MINIFS(日別データ!$D$2:$D$185,日別データ!$C$2:$C$185,A8)</f>
        <v>490</v>
      </c>
      <c r="E8" s="2" t="n">
        <f aca="false">_xlfn.MAXIFS(日別データ!$D$2:$D$185,日別データ!$C$2:$C$185,A8)</f>
        <v>504</v>
      </c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6" t="s">
        <v>208</v>
      </c>
      <c r="B10" s="2" t="n">
        <f aca="false">COUNT(日別データ!$D$2:$D$185)</f>
        <v>184</v>
      </c>
      <c r="C10" s="2" t="n">
        <f aca="false">ROUND(AVERAGE(日別データ!$D$2:$D$185),1)</f>
        <v>428.9</v>
      </c>
      <c r="D10" s="2" t="n">
        <f aca="false">MIN(日別データ!$D$2:$D$185)</f>
        <v>120</v>
      </c>
      <c r="E10" s="2" t="n">
        <f aca="false">MAX(日別データ!$D$2:$D$185)</f>
        <v>598</v>
      </c>
    </row>
    <row r="11" customFormat="false" ht="15" hidden="false" customHeight="false" outlineLevel="0" collapsed="false">
      <c r="A11" s="6" t="s">
        <v>209</v>
      </c>
      <c r="B11" s="2"/>
      <c r="C11" s="2" t="n">
        <f aca="false">MEDIAN(日別データ!$D$2:$D$185)</f>
        <v>437</v>
      </c>
      <c r="D11" s="2"/>
      <c r="E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2026-09-01T11:13:11Z</dcterms:created>
  <dc:creator>openpyxl</dc:creator>
  <dc:description/>
  <dc:language>en-US</dc:language>
  <cp:lastModifiedBy/>
  <dcterms:modified xsi:type="dcterms:W3CDTF">2026-09-01T20:13:11Z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