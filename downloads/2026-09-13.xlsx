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統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<sst xmlns="http://schemas.openxmlformats.org/spreadsheetml/2006/main" count="211" uniqueCount="211">
  <si>
    <t xml:space="preserve">日付</t>
  </si>
  <si>
    <t xml:space="preserve">件数</t>
  </si>
  <si>
    <t xml:space="preserve">件数超フラグ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</si>
  <si>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</si>
  <si>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</si>
  <si>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</si>
  <si>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</si>
  <si>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</si>
  <si>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</si>
  <si>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</si>
  <si>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</si>
  <si>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</si>
  <si>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</si>
  <si>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</si>
  <si>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</si>
  <si>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</si>
  <si>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</si>
  <si>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</si>
  <si>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</si>
  <si>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</si>
  <si>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</si>
  <si>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</si>
  <si>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</si>
  <si>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</si>
  <si>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</si>
  <si>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</si>
  <si>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</si>
  <si>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</si>
  <si>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</si>
  <si>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</si>
  <si>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</si>
  <si>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</si>
  <si>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</si>
  <si>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</si>
  <si>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</si>
  <si>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</si>
  <si>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</si>
  <si>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</si>
  <si>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</si>
  <si>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</si>
  <si>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</si>
  <si>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</si>
  <si>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</si>
  <si>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</si>
  <si>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</si>
  <si>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</si>
  <si>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</si>
  <si>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</si>
  <si>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</si>
  <si>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</si>
  <si>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</si>
  <si>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</si>
  <si>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</si>
  <si>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</si>
  <si>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</si>
  <si>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</si>
  <si>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</si>
  <si>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</si>
  <si>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</si>
  <si>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</si>
  <si>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</si>
  <si>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</si>
  <si>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</si>
  <si>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</si>
  <si>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</si>
  <si>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</si>
  <si>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</si>
  <si>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</si>
  <si>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</si>
  <si>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</si>
  <si>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</si>
  <si>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</si>
  <si>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</si>
  <si>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</si>
  <si>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</si>
  <si>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</si>
  <si>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</si>
  <si>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</si>
  <si>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</si>
  <si>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</si>
  <si>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</si>
  <si>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</si>
  <si>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</si>
  <si>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</si>
  <si>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</si>
  <si>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</si>
  <si>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</si>
  <si>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</si>
  <si>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</si>
  <si>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</si>
  <si>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</si>
  <si>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</si>
  <si>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</si>
  <si>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</si>
  <si>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</si>
  <si>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</si>
  <si>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</si>
  <si>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</si>
  <si>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</si>
  <si>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</si>
  <si>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</si>
  <si>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</si>
  <si>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</si>
  <si>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</si>
  <si>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</si>
  <si>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</si>
  <si>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</si>
  <si>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</si>
  <si>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</si>
  <si>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</si>
  <si>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</si>
  <si>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</si>
  <si>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</si>
  <si>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</si>
  <si>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</si>
  <si>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</si>
  <si>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</si>
  <si>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</si>
  <si>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</si>
  <si>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</si>
  <si>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</si>
  <si>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</si>
  <si>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</si>
  <si>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</si>
  <si>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</si>
  <si>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</si>
  <si>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</si>
  <si>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</si>
  <si>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</si>
  <si>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</si>
  <si>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</si>
  <si>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</si>
  <si>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</si>
  <si>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</si>
  <si>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</si>
  <si>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</si>
  <si>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</si>
  <si>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</si>
  <si>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</si>
  <si>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</si>
  <si>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</si>
  <si>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</si>
  <si>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</si>
  <si>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</si>
  <si>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</si>
  <si>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</si>
  <si>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</si>
  <si>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</si>
  <si>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</si>
  <si>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</si>
  <si>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</si>
  <si>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</si>
  <si>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</si>
  <si>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</si>
  <si>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</si>
  <si>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</si>
  <si>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</si>
  <si>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</si>
  <si>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</si>
  <si>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</si>
  <si>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</si>
  <si>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</si>
  <si>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</si>
  <si>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</si>
  <si>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</si>
  <si>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</si>
  <si>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</si>
  <si>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</si>
  <si>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</si>
  <si>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</si>
  <si>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</si>
  <si>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</si>
  <si>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</si>
  <si>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</si>
  <si>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</si>
  <si>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</si>
  <si>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</si>
  <si>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</si>
  <si>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</si>
  <si>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</si>
  <si>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</si>
  <si>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</si>
  <si>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</si>
  <si>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</si>
  <si>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</si>
  <si>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</si>
  <si>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</si>
  <si>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月</t>
  </si>
  <si>
    <t xml:space="preserve">平均件数</t>
  </si>
  <si>
    <t xml:space="preserve">最小</t>
  </si>
  <si>
    <t xml:space="preserve">最大</t>
  </si>
  <si>
    <r>
      <rPr>
        <b val="true"/>
        <sz val="11"/>
        <rFont val="Noto Sans CJK SC"/>
        <family val="2"/>
      </rPr>
      <t xml:space="preserve">件数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サンプル数</t>
    </r>
    <r>
      <rPr>
        <b val="true"/>
        <sz val="11"/>
        <rFont val="Arial"/>
        <family val="0"/>
        <charset val="1"/>
      </rPr>
      <t xml:space="preserve">)</t>
    </r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</si>
  <si>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</si>
  <si>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</si>
  <si>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</si>
  <si>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</si>
  <si>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</si>
  <si>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</si>
  <si>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</si>
  <si>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指標</t>
  </si>
  <si>
    <t xml:space="preserve">値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</si>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</sst>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14892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3" t="s">
        <v>187</v>
      </c>
      <c r="B1" s="3" t="s">
        <v>188</v>
      </c>
      <c r="C1" s="3" t="s">
        <v>189</v>
      </c>
      <c r="D1" s="3" t="s">
        <v>190</v>
      </c>
      <c r="E1" s="3" t="s">
        <v>191</v>
      </c>
    </row>
    <row r="2" customFormat="false" ht="15" hidden="false" customHeight="false" outlineLevel="0" collapsed="false">
      <c r="A2" s="2" t="s">
        <v>192</v>
      </c>
      <c r="B2" s="2" t="n">
        <f aca="false">AVERAGE(日別データ!B2:B19)</f>
        <v>357.388888888889</v>
      </c>
      <c r="C2" s="2" t="n">
        <f aca="false">MIN(日別データ!B2:B19)</f>
        <v>66</v>
      </c>
      <c r="D2" s="2" t="n">
        <f aca="false">MAX(日別データ!B2:B19)</f>
        <v>523</v>
      </c>
      <c r="E2" s="2" t="n">
        <f aca="false">COUNT(日別データ!B2:B19)</f>
        <v>18</v>
      </c>
    </row>
    <row r="3" customFormat="false" ht="15" hidden="false" customHeight="false" outlineLevel="0" collapsed="false">
      <c r="A3" s="2" t="s">
        <v>193</v>
      </c>
      <c r="B3" s="2" t="n">
        <f aca="false">AVERAGE(日別データ!B20:B50)</f>
        <v>258</v>
      </c>
      <c r="C3" s="2" t="n">
        <f aca="false">MIN(日別データ!B20:B50)</f>
        <v>159</v>
      </c>
      <c r="D3" s="2" t="n">
        <f aca="false">MAX(日別データ!B20:B50)</f>
        <v>311</v>
      </c>
      <c r="E3" s="2" t="n">
        <f aca="false">COUNT(日別データ!B20:B50)</f>
        <v>31</v>
      </c>
    </row>
    <row r="4" customFormat="false" ht="15" hidden="false" customHeight="false" outlineLevel="0" collapsed="false">
      <c r="A4" s="2" t="s">
        <v>194</v>
      </c>
      <c r="B4" s="2" t="n">
        <f aca="false">AVERAGE(日別データ!B51:B80)</f>
        <v>352.166666666667</v>
      </c>
      <c r="C4" s="2" t="n">
        <f aca="false">MIN(日別データ!B51:B80)</f>
        <v>258</v>
      </c>
      <c r="D4" s="2" t="n">
        <f aca="false">MAX(日別データ!B51:B80)</f>
        <v>460</v>
      </c>
      <c r="E4" s="2" t="n">
        <f aca="false">COUNT(日別データ!B51:B80)</f>
        <v>30</v>
      </c>
    </row>
    <row r="5" customFormat="false" ht="15" hidden="false" customHeight="false" outlineLevel="0" collapsed="false">
      <c r="A5" s="2" t="s">
        <v>195</v>
      </c>
      <c r="B5" s="2" t="n">
        <f aca="false">AVERAGE(日別データ!B81:B111)</f>
        <v>427.354838709677</v>
      </c>
      <c r="C5" s="2" t="n">
        <f aca="false">MIN(日別データ!B81:B111)</f>
        <v>276</v>
      </c>
      <c r="D5" s="2" t="n">
        <f aca="false">MAX(日別データ!B81:B111)</f>
        <v>501</v>
      </c>
      <c r="E5" s="2" t="n">
        <f aca="false">COUNT(日別データ!B81:B111)</f>
        <v>31</v>
      </c>
    </row>
    <row r="6" customFormat="false" ht="15" hidden="false" customHeight="false" outlineLevel="0" collapsed="false">
      <c r="A6" s="2" t="s">
        <v>196</v>
      </c>
      <c r="B6" s="2" t="n">
        <f aca="false">AVERAGE(日別データ!B112:B142)</f>
        <v>540.935483870968</v>
      </c>
      <c r="C6" s="2" t="n">
        <f aca="false">MIN(日別データ!B112:B142)</f>
        <v>318</v>
      </c>
      <c r="D6" s="2" t="n">
        <f aca="false">MAX(日別データ!B112:B142)</f>
        <v>598</v>
      </c>
      <c r="E6" s="2" t="n">
        <f aca="false">COUNT(日別データ!B112:B142)</f>
        <v>31</v>
      </c>
    </row>
    <row r="7" customFormat="false" ht="15" hidden="false" customHeight="false" outlineLevel="0" collapsed="false">
      <c r="A7" s="2" t="s">
        <v>197</v>
      </c>
      <c r="B7" s="2" t="n">
        <f aca="false">AVERAGE(日別データ!B143:B170)</f>
        <v>586.785714285714</v>
      </c>
      <c r="C7" s="2" t="n">
        <f aca="false">MIN(日別データ!B143:B170)</f>
        <v>549</v>
      </c>
      <c r="D7" s="2" t="n">
        <f aca="false">MAX(日別データ!B143:B170)</f>
        <v>620</v>
      </c>
      <c r="E7" s="2" t="n">
        <f aca="false">COUNT(日別データ!B143:B170)</f>
        <v>28</v>
      </c>
    </row>
    <row r="8" customFormat="false" ht="15" hidden="false" customHeight="false" outlineLevel="0" collapsed="false">
      <c r="A8" s="2" t="s">
        <v>198</v>
      </c>
      <c r="B8" s="2" t="n">
        <f aca="false">AVERAGE(日別データ!B171:B185)</f>
        <v>538</v>
      </c>
      <c r="C8" s="2" t="n">
        <f aca="false">MIN(日別データ!B171:B185)</f>
        <v>475</v>
      </c>
      <c r="D8" s="2" t="n">
        <f aca="false">MAX(日別データ!B171:B185)</f>
        <v>590</v>
      </c>
      <c r="E8" s="2" t="n">
        <f aca="false">COUNT(日別データ!B171:B185)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2026-09-12T20:15:03Z</dcterms:created>
  <dc:creator>openpyxl</dc:creator>
  <dc:description/>
  <dc:language>en-US</dc:language>
  <cp:lastModifiedBy/>
  <dcterms:modified xsi:type="dcterms:W3CDTF">2026-09-13T05:15:06Z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