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<sst xmlns="http://schemas.openxmlformats.org/spreadsheetml/2006/main" count="389" uniqueCount="208">
  <si>
    <t xml:space="preserve">日付</t>
  </si>
  <si>
    <t xml:space="preserve">曜日</t>
  </si>
  <si>
    <t xml:space="preserve">件数</t>
  </si>
  <si>
    <r>
      <rPr>
        <b val="true"/>
        <sz val="11"/>
        <color rgb="FFFFFFFF"/>
        <rFont val="Cambria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</si>
  <si>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2026-07-13</t>
  </si>
  <si>
    <t xml:space="preserve">月</t>
  </si>
  <si>
    <t xml:space="preserve">2026-07-14</t>
  </si>
  <si>
    <t xml:space="preserve">火</t>
  </si>
  <si>
    <t xml:space="preserve">2026-07-15</t>
  </si>
  <si>
    <t xml:space="preserve">水</t>
  </si>
  <si>
    <t xml:space="preserve">2026-07-16</t>
  </si>
  <si>
    <t xml:space="preserve">木</t>
  </si>
  <si>
    <t xml:space="preserve">2026-07-17</t>
  </si>
  <si>
    <t xml:space="preserve">金</t>
  </si>
  <si>
    <t xml:space="preserve">2026-07-18</t>
  </si>
  <si>
    <t xml:space="preserve">土</t>
  </si>
  <si>
    <t xml:space="preserve">2026-07-19</t>
  </si>
  <si>
    <t xml:space="preserve">日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</si>
  <si>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</si>
  <si>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</si>
  <si>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</si>
  <si>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</si>
  <si>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</si>
  <si>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</si>
  <si>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</si>
  <si>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</si>
  <si>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</si>
  <si>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</si>
  <si>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</si>
  <si>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</si>
  <si>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</si>
  <si>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</si>
  <si>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</si>
  <si>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</si>
  <si>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</si>
  <si>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</si>
  <si>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</si>
  <si>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</si>
  <si>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</si>
  <si>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</si>
  <si>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</si>
  <si>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</si>
  <si>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</si>
  <si>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</si>
  <si>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</si>
  <si>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</si>
  <si>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</si>
  <si>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</si>
  <si>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</si>
  <si>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</si>
  <si>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</si>
  <si>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</si>
  <si>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</si>
  <si>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</si>
  <si>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</si>
  <si>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</si>
  <si>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</si>
  <si>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</si>
  <si>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</si>
  <si>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</si>
  <si>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</si>
  <si>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</si>
  <si>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</si>
  <si>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</si>
  <si>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</si>
  <si>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</si>
  <si>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</si>
  <si>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</si>
  <si>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</si>
  <si>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</si>
  <si>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</si>
  <si>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</si>
  <si>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</si>
  <si>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</si>
  <si>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</si>
  <si>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</si>
  <si>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</si>
  <si>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</si>
  <si>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</si>
  <si>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</si>
  <si>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</si>
  <si>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</si>
  <si>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</si>
  <si>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</si>
  <si>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</si>
  <si>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</si>
  <si>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</si>
  <si>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</si>
  <si>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</si>
  <si>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</si>
  <si>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</si>
  <si>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</si>
  <si>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</si>
  <si>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</si>
  <si>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</si>
  <si>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</si>
  <si>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</si>
  <si>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</si>
  <si>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</si>
  <si>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</si>
  <si>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</si>
  <si>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</si>
  <si>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</si>
  <si>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</si>
  <si>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</si>
  <si>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</si>
  <si>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</si>
  <si>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</si>
  <si>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</si>
  <si>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</si>
  <si>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</si>
  <si>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</si>
  <si>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</si>
  <si>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</si>
  <si>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</si>
  <si>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</si>
  <si>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</si>
  <si>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</si>
  <si>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</si>
  <si>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</si>
  <si>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</si>
  <si>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</si>
  <si>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</si>
  <si>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</si>
  <si>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</si>
  <si>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</si>
  <si>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</si>
  <si>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</si>
  <si>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</si>
  <si>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</si>
  <si>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</si>
  <si>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</si>
  <si>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</si>
  <si>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</si>
  <si>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</si>
  <si>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</si>
  <si>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</si>
  <si>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</si>
  <si>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</si>
  <si>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</si>
  <si>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</si>
  <si>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</si>
  <si>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</si>
  <si>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</si>
  <si>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</si>
  <si>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</si>
  <si>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</si>
  <si>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</si>
  <si>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</si>
  <si>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</si>
  <si>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</si>
  <si>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</si>
  <si>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</si>
  <si>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</si>
  <si>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</si>
  <si>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</si>
  <si>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</si>
  <si>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</si>
  <si>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</si>
  <si>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</si>
  <si>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</si>
  <si>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</si>
  <si>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</si>
  <si>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</si>
  <si>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</si>
  <si>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</si>
  <si>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</si>
  <si>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</si>
  <si>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</si>
  <si>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</si>
  <si>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</si>
  <si>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</si>
  <si>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</si>
  <si>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</si>
  <si>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</si>
  <si>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</si>
  <si>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</si>
  <si>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</si>
  <si>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</si>
  <si>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</si>
  <si>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</si>
  <si>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</si>
  <si>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</si>
  <si>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</si>
  <si>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</si>
  <si>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</si>
  <si>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</si>
  <si>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</si>
  <si>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</si>
  <si>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</si>
  <si>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</si>
  <si>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</si>
  <si>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</si>
  <si>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</si>
  <si>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</si>
  <si>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日数</t>
  </si>
  <si>
    <t xml:space="preserve">平均</t>
  </si>
  <si>
    <t xml:space="preserve">最小</t>
  </si>
  <si>
    <t xml:space="preserve">最大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</si>
  <si>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</si>
  <si>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</si>
  <si>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</si>
  <si>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</si>
  <si>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</si>
  <si>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</si>
  <si>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</si>
  <si>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期間全体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</si>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</sst>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5A5F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5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2026-07-13</c:v>
                </c:pt>
                <c:pt idx="1">
                  <c:v>2026-07-14</c:v>
                </c:pt>
                <c:pt idx="2">
                  <c:v>2026-07-15</c:v>
                </c:pt>
                <c:pt idx="3">
                  <c:v>2026-07-16</c:v>
                </c:pt>
                <c:pt idx="4">
                  <c:v>2026-07-17</c:v>
                </c:pt>
                <c:pt idx="5">
                  <c:v>2026-07-18</c:v>
                </c:pt>
                <c:pt idx="6">
                  <c:v>2026-07-19</c:v>
                </c:pt>
                <c:pt idx="7">
                  <c:v>2026-07-20</c:v>
                </c:pt>
                <c:pt idx="8">
                  <c:v>2026-07-21</c:v>
                </c:pt>
                <c:pt idx="9">
                  <c:v>2026-07-22</c:v>
                </c:pt>
                <c:pt idx="10">
                  <c:v>2026-07-23</c:v>
                </c:pt>
                <c:pt idx="11">
                  <c:v>2026-07-24</c:v>
                </c:pt>
                <c:pt idx="12">
                  <c:v>2026-07-25</c:v>
                </c:pt>
                <c:pt idx="13">
                  <c:v>2026-07-26</c:v>
                </c:pt>
                <c:pt idx="14">
                  <c:v>2026-07-27</c:v>
                </c:pt>
                <c:pt idx="15">
                  <c:v>2026-07-28</c:v>
                </c:pt>
                <c:pt idx="16">
                  <c:v>2026-07-29</c:v>
                </c:pt>
                <c:pt idx="17">
                  <c:v>2026-07-30</c:v>
                </c:pt>
                <c:pt idx="18">
                  <c:v>2026-07-31</c:v>
                </c:pt>
                <c:pt idx="19">
                  <c:v>2026-08-01</c:v>
                </c:pt>
                <c:pt idx="20">
                  <c:v>2026-08-02</c:v>
                </c:pt>
                <c:pt idx="21">
                  <c:v>2026-08-03</c:v>
                </c:pt>
                <c:pt idx="22">
                  <c:v>2026-08-04</c:v>
                </c:pt>
                <c:pt idx="23">
                  <c:v>2026-08-05</c:v>
                </c:pt>
                <c:pt idx="24">
                  <c:v>2026-08-06</c:v>
                </c:pt>
                <c:pt idx="25">
                  <c:v>2026-08-07</c:v>
                </c:pt>
                <c:pt idx="26">
                  <c:v>2026-08-08</c:v>
                </c:pt>
                <c:pt idx="27">
                  <c:v>2026-08-09</c:v>
                </c:pt>
                <c:pt idx="28">
                  <c:v>2026-08-10</c:v>
                </c:pt>
                <c:pt idx="29">
                  <c:v>2026-08-11</c:v>
                </c:pt>
                <c:pt idx="30">
                  <c:v>2026-08-12</c:v>
                </c:pt>
                <c:pt idx="31">
                  <c:v>2026-08-13</c:v>
                </c:pt>
                <c:pt idx="32">
                  <c:v>2026-08-14</c:v>
                </c:pt>
                <c:pt idx="33">
                  <c:v>2026-08-15</c:v>
                </c:pt>
                <c:pt idx="34">
                  <c:v>2026-08-16</c:v>
                </c:pt>
                <c:pt idx="35">
                  <c:v>2026-08-17</c:v>
                </c:pt>
                <c:pt idx="36">
                  <c:v>2026-08-18</c:v>
                </c:pt>
                <c:pt idx="37">
                  <c:v>2026-08-19</c:v>
                </c:pt>
                <c:pt idx="38">
                  <c:v>2026-08-20</c:v>
                </c:pt>
                <c:pt idx="39">
                  <c:v>2026-08-21</c:v>
                </c:pt>
                <c:pt idx="40">
                  <c:v>2026-08-22</c:v>
                </c:pt>
                <c:pt idx="41">
                  <c:v>2026-08-23</c:v>
                </c:pt>
                <c:pt idx="42">
                  <c:v>2026-08-24</c:v>
                </c:pt>
                <c:pt idx="43">
                  <c:v>2026-08-25</c:v>
                </c:pt>
                <c:pt idx="44">
                  <c:v>2026-08-26</c:v>
                </c:pt>
                <c:pt idx="45">
                  <c:v>2026-08-27</c:v>
                </c:pt>
                <c:pt idx="46">
                  <c:v>2026-08-28</c:v>
                </c:pt>
                <c:pt idx="47">
                  <c:v>2026-08-29</c:v>
                </c:pt>
                <c:pt idx="48">
                  <c:v>2026-08-30</c:v>
                </c:pt>
                <c:pt idx="49">
                  <c:v>2026-08-31</c:v>
                </c:pt>
                <c:pt idx="50">
                  <c:v>2026-09-01</c:v>
                </c:pt>
                <c:pt idx="51">
                  <c:v>2026-09-02</c:v>
                </c:pt>
                <c:pt idx="52">
                  <c:v>2026-09-03</c:v>
                </c:pt>
                <c:pt idx="53">
                  <c:v>2026-09-04</c:v>
                </c:pt>
                <c:pt idx="54">
                  <c:v>2026-09-05</c:v>
                </c:pt>
                <c:pt idx="55">
                  <c:v>2026-09-06</c:v>
                </c:pt>
                <c:pt idx="56">
                  <c:v>2026-09-07</c:v>
                </c:pt>
                <c:pt idx="57">
                  <c:v>2026-09-08</c:v>
                </c:pt>
                <c:pt idx="58">
                  <c:v>2026-09-09</c:v>
                </c:pt>
                <c:pt idx="59">
                  <c:v>2026-09-10</c:v>
                </c:pt>
                <c:pt idx="60">
                  <c:v>2026-09-11</c:v>
                </c:pt>
                <c:pt idx="61">
                  <c:v>2026-09-12</c:v>
                </c:pt>
                <c:pt idx="62">
                  <c:v>2026-09-13</c:v>
                </c:pt>
                <c:pt idx="63">
                  <c:v>2026-09-14</c:v>
                </c:pt>
                <c:pt idx="64">
                  <c:v>2026-09-15</c:v>
                </c:pt>
                <c:pt idx="65">
                  <c:v>2026-09-16</c:v>
                </c:pt>
                <c:pt idx="66">
                  <c:v>2026-09-17</c:v>
                </c:pt>
                <c:pt idx="67">
                  <c:v>2026-09-18</c:v>
                </c:pt>
                <c:pt idx="68">
                  <c:v>2026-09-19</c:v>
                </c:pt>
                <c:pt idx="69">
                  <c:v>2026-09-20</c:v>
                </c:pt>
                <c:pt idx="70">
                  <c:v>2026-09-21</c:v>
                </c:pt>
                <c:pt idx="71">
                  <c:v>2026-09-22</c:v>
                </c:pt>
                <c:pt idx="72">
                  <c:v>2026-09-23</c:v>
                </c:pt>
                <c:pt idx="73">
                  <c:v>2026-09-24</c:v>
                </c:pt>
                <c:pt idx="74">
                  <c:v>2026-09-25</c:v>
                </c:pt>
                <c:pt idx="75">
                  <c:v>2026-09-26</c:v>
                </c:pt>
                <c:pt idx="76">
                  <c:v>2026-09-27</c:v>
                </c:pt>
                <c:pt idx="77">
                  <c:v>2026-09-28</c:v>
                </c:pt>
                <c:pt idx="78">
                  <c:v>2026-09-29</c:v>
                </c:pt>
                <c:pt idx="79">
                  <c:v>2026-09-30</c:v>
                </c:pt>
                <c:pt idx="80">
                  <c:v>2026-10-01</c:v>
                </c:pt>
                <c:pt idx="81">
                  <c:v>2026-10-02</c:v>
                </c:pt>
                <c:pt idx="82">
                  <c:v>2026-10-03</c:v>
                </c:pt>
                <c:pt idx="83">
                  <c:v>2026-10-04</c:v>
                </c:pt>
                <c:pt idx="84">
                  <c:v>2026-10-05</c:v>
                </c:pt>
                <c:pt idx="85">
                  <c:v>2026-10-06</c:v>
                </c:pt>
                <c:pt idx="86">
                  <c:v>2026-10-07</c:v>
                </c:pt>
                <c:pt idx="87">
                  <c:v>2026-10-08</c:v>
                </c:pt>
                <c:pt idx="88">
                  <c:v>2026-10-09</c:v>
                </c:pt>
                <c:pt idx="89">
                  <c:v>2026-10-10</c:v>
                </c:pt>
                <c:pt idx="90">
                  <c:v>2026-10-11</c:v>
                </c:pt>
                <c:pt idx="91">
                  <c:v>2026-10-12</c:v>
                </c:pt>
                <c:pt idx="92">
                  <c:v>2026-10-13</c:v>
                </c:pt>
                <c:pt idx="93">
                  <c:v>2026-10-14</c:v>
                </c:pt>
                <c:pt idx="94">
                  <c:v>2026-10-15</c:v>
                </c:pt>
                <c:pt idx="95">
                  <c:v>2026-10-16</c:v>
                </c:pt>
                <c:pt idx="96">
                  <c:v>2026-10-17</c:v>
                </c:pt>
                <c:pt idx="97">
                  <c:v>2026-10-18</c:v>
                </c:pt>
                <c:pt idx="98">
                  <c:v>2026-10-19</c:v>
                </c:pt>
                <c:pt idx="99">
                  <c:v>2026-10-20</c:v>
                </c:pt>
                <c:pt idx="100">
                  <c:v>2026-10-21</c:v>
                </c:pt>
                <c:pt idx="101">
                  <c:v>2026-10-22</c:v>
                </c:pt>
                <c:pt idx="102">
                  <c:v>2026-10-23</c:v>
                </c:pt>
                <c:pt idx="103">
                  <c:v>2026-10-24</c:v>
                </c:pt>
                <c:pt idx="104">
                  <c:v>2026-10-25</c:v>
                </c:pt>
                <c:pt idx="105">
                  <c:v>2026-10-26</c:v>
                </c:pt>
                <c:pt idx="106">
                  <c:v>2026-10-27</c:v>
                </c:pt>
                <c:pt idx="107">
                  <c:v>2026-10-28</c:v>
                </c:pt>
                <c:pt idx="108">
                  <c:v>2026-10-29</c:v>
                </c:pt>
                <c:pt idx="109">
                  <c:v>2026-10-30</c:v>
                </c:pt>
                <c:pt idx="110">
                  <c:v>2026-10-31</c:v>
                </c:pt>
                <c:pt idx="111">
                  <c:v>2026-11-01</c:v>
                </c:pt>
                <c:pt idx="112">
                  <c:v>2026-11-02</c:v>
                </c:pt>
                <c:pt idx="113">
                  <c:v>2026-11-03</c:v>
                </c:pt>
                <c:pt idx="114">
                  <c:v>2026-11-04</c:v>
                </c:pt>
                <c:pt idx="115">
                  <c:v>2026-11-05</c:v>
                </c:pt>
                <c:pt idx="116">
                  <c:v>2026-11-06</c:v>
                </c:pt>
                <c:pt idx="117">
                  <c:v>2026-11-07</c:v>
                </c:pt>
                <c:pt idx="118">
                  <c:v>2026-11-08</c:v>
                </c:pt>
                <c:pt idx="119">
                  <c:v>2026-11-09</c:v>
                </c:pt>
                <c:pt idx="120">
                  <c:v>2026-11-10</c:v>
                </c:pt>
                <c:pt idx="121">
                  <c:v>2026-11-11</c:v>
                </c:pt>
                <c:pt idx="122">
                  <c:v>2026-11-12</c:v>
                </c:pt>
                <c:pt idx="123">
                  <c:v>2026-11-13</c:v>
                </c:pt>
                <c:pt idx="124">
                  <c:v>2026-11-14</c:v>
                </c:pt>
                <c:pt idx="125">
                  <c:v>2026-11-15</c:v>
                </c:pt>
                <c:pt idx="126">
                  <c:v>2026-11-16</c:v>
                </c:pt>
                <c:pt idx="127">
                  <c:v>2026-11-17</c:v>
                </c:pt>
                <c:pt idx="128">
                  <c:v>2026-11-18</c:v>
                </c:pt>
                <c:pt idx="129">
                  <c:v>2026-11-19</c:v>
                </c:pt>
                <c:pt idx="130">
                  <c:v>2026-11-20</c:v>
                </c:pt>
                <c:pt idx="131">
                  <c:v>2026-11-21</c:v>
                </c:pt>
                <c:pt idx="132">
                  <c:v>2026-11-22</c:v>
                </c:pt>
                <c:pt idx="133">
                  <c:v>2026-11-23</c:v>
                </c:pt>
                <c:pt idx="134">
                  <c:v>2026-11-24</c:v>
                </c:pt>
                <c:pt idx="135">
                  <c:v>2026-11-25</c:v>
                </c:pt>
                <c:pt idx="136">
                  <c:v>2026-11-26</c:v>
                </c:pt>
                <c:pt idx="137">
                  <c:v>2026-11-27</c:v>
                </c:pt>
                <c:pt idx="138">
                  <c:v>2026-11-28</c:v>
                </c:pt>
                <c:pt idx="139">
                  <c:v>2026-11-29</c:v>
                </c:pt>
                <c:pt idx="140">
                  <c:v>2026-11-30</c:v>
                </c:pt>
                <c:pt idx="141">
                  <c:v>2026-12-01</c:v>
                </c:pt>
                <c:pt idx="142">
                  <c:v>2026-12-02</c:v>
                </c:pt>
                <c:pt idx="143">
                  <c:v>2026-12-03</c:v>
                </c:pt>
                <c:pt idx="144">
                  <c:v>2026-12-04</c:v>
                </c:pt>
                <c:pt idx="145">
                  <c:v>2026-12-05</c:v>
                </c:pt>
                <c:pt idx="146">
                  <c:v>2026-12-06</c:v>
                </c:pt>
                <c:pt idx="147">
                  <c:v>2026-12-07</c:v>
                </c:pt>
                <c:pt idx="148">
                  <c:v>2026-12-08</c:v>
                </c:pt>
                <c:pt idx="149">
                  <c:v>2026-12-09</c:v>
                </c:pt>
                <c:pt idx="150">
                  <c:v>2026-12-10</c:v>
                </c:pt>
                <c:pt idx="151">
                  <c:v>2026-12-11</c:v>
                </c:pt>
                <c:pt idx="152">
                  <c:v>2026-12-12</c:v>
                </c:pt>
                <c:pt idx="153">
                  <c:v>2026-12-13</c:v>
                </c:pt>
                <c:pt idx="154">
                  <c:v>2026-12-14</c:v>
                </c:pt>
                <c:pt idx="155">
                  <c:v>2026-12-15</c:v>
                </c:pt>
                <c:pt idx="156">
                  <c:v>2026-12-16</c:v>
                </c:pt>
                <c:pt idx="157">
                  <c:v>2026-12-17</c:v>
                </c:pt>
                <c:pt idx="158">
                  <c:v>2026-12-18</c:v>
                </c:pt>
                <c:pt idx="159">
                  <c:v>2026-12-19</c:v>
                </c:pt>
                <c:pt idx="160">
                  <c:v>2026-12-20</c:v>
                </c:pt>
                <c:pt idx="161">
                  <c:v>2026-12-21</c:v>
                </c:pt>
                <c:pt idx="162">
                  <c:v>2026-12-22</c:v>
                </c:pt>
                <c:pt idx="163">
                  <c:v>2026-12-23</c:v>
                </c:pt>
                <c:pt idx="164">
                  <c:v>2026-12-24</c:v>
                </c:pt>
                <c:pt idx="165">
                  <c:v>2026-12-25</c:v>
                </c:pt>
                <c:pt idx="166">
                  <c:v>2026-12-26</c:v>
                </c:pt>
                <c:pt idx="167">
                  <c:v>2026-12-27</c:v>
                </c:pt>
                <c:pt idx="168">
                  <c:v>2026-12-28</c:v>
                </c:pt>
                <c:pt idx="169">
                  <c:v>2026-12-29</c:v>
                </c:pt>
                <c:pt idx="170">
                  <c:v>2026-12-30</c:v>
                </c:pt>
                <c:pt idx="171">
                  <c:v>2026-12-31</c:v>
                </c:pt>
                <c:pt idx="172">
                  <c:v>2027-01-01</c:v>
                </c:pt>
                <c:pt idx="173">
                  <c:v>2027-01-02</c:v>
                </c:pt>
                <c:pt idx="174">
                  <c:v>2027-01-03</c:v>
                </c:pt>
                <c:pt idx="175">
                  <c:v>2027-01-04</c:v>
                </c:pt>
                <c:pt idx="176">
                  <c:v>2027-01-05</c:v>
                </c:pt>
                <c:pt idx="177">
                  <c:v>2027-01-06</c:v>
                </c:pt>
                <c:pt idx="178">
                  <c:v>2027-01-07</c:v>
                </c:pt>
                <c:pt idx="179">
                  <c:v>2027-01-08</c:v>
                </c:pt>
                <c:pt idx="180">
                  <c:v>2027-01-09</c:v>
                </c:pt>
                <c:pt idx="181">
                  <c:v>2027-01-10</c:v>
                </c:pt>
                <c:pt idx="182">
                  <c:v>2027-01-11</c:v>
                </c:pt>
                <c:pt idx="183">
                  <c:v>2027-01-12</c:v>
                </c:pt>
              </c:strCache>
            </c:strRef>
          </c:cat>
          <c:val>
            <c:numRef>
              <c:f>日別データ!$C$2:$C$185</c:f>
              <c:numCache>
                <c:formatCode>General</c:formatCode>
                <c:ptCount val="184"/>
                <c:pt idx="0">
                  <c:v>233</c:v>
                </c:pt>
                <c:pt idx="1">
                  <c:v>347</c:v>
                </c:pt>
                <c:pt idx="2">
                  <c:v>343</c:v>
                </c:pt>
                <c:pt idx="3">
                  <c:v>323</c:v>
                </c:pt>
                <c:pt idx="4">
                  <c:v>284</c:v>
                </c:pt>
                <c:pt idx="5">
                  <c:v>160</c:v>
                </c:pt>
                <c:pt idx="6">
                  <c:v>235</c:v>
                </c:pt>
                <c:pt idx="7">
                  <c:v>347</c:v>
                </c:pt>
                <c:pt idx="8">
                  <c:v>357</c:v>
                </c:pt>
                <c:pt idx="9">
                  <c:v>375</c:v>
                </c:pt>
                <c:pt idx="10">
                  <c:v>357</c:v>
                </c:pt>
                <c:pt idx="11">
                  <c:v>288</c:v>
                </c:pt>
                <c:pt idx="12">
                  <c:v>228</c:v>
                </c:pt>
                <c:pt idx="13">
                  <c:v>363</c:v>
                </c:pt>
                <c:pt idx="14">
                  <c:v>394</c:v>
                </c:pt>
                <c:pt idx="15">
                  <c:v>379</c:v>
                </c:pt>
                <c:pt idx="16">
                  <c:v>386</c:v>
                </c:pt>
                <c:pt idx="17">
                  <c:v>370</c:v>
                </c:pt>
                <c:pt idx="18">
                  <c:v>376</c:v>
                </c:pt>
                <c:pt idx="19">
                  <c:v>326</c:v>
                </c:pt>
                <c:pt idx="20">
                  <c:v>408</c:v>
                </c:pt>
                <c:pt idx="21">
                  <c:v>428</c:v>
                </c:pt>
                <c:pt idx="22">
                  <c:v>453</c:v>
                </c:pt>
                <c:pt idx="23">
                  <c:v>470</c:v>
                </c:pt>
                <c:pt idx="24">
                  <c:v>462</c:v>
                </c:pt>
                <c:pt idx="25">
                  <c:v>417</c:v>
                </c:pt>
                <c:pt idx="26">
                  <c:v>376</c:v>
                </c:pt>
                <c:pt idx="27">
                  <c:v>417</c:v>
                </c:pt>
                <c:pt idx="28">
                  <c:v>421</c:v>
                </c:pt>
                <c:pt idx="29">
                  <c:v>440</c:v>
                </c:pt>
                <c:pt idx="30">
                  <c:v>440</c:v>
                </c:pt>
                <c:pt idx="31">
                  <c:v>439</c:v>
                </c:pt>
                <c:pt idx="32">
                  <c:v>431</c:v>
                </c:pt>
                <c:pt idx="33">
                  <c:v>451</c:v>
                </c:pt>
                <c:pt idx="34">
                  <c:v>508</c:v>
                </c:pt>
                <c:pt idx="35">
                  <c:v>537</c:v>
                </c:pt>
                <c:pt idx="36">
                  <c:v>543</c:v>
                </c:pt>
                <c:pt idx="37">
                  <c:v>522</c:v>
                </c:pt>
                <c:pt idx="38">
                  <c:v>509</c:v>
                </c:pt>
                <c:pt idx="39">
                  <c:v>484</c:v>
                </c:pt>
                <c:pt idx="40">
                  <c:v>470</c:v>
                </c:pt>
                <c:pt idx="41">
                  <c:v>510</c:v>
                </c:pt>
                <c:pt idx="42">
                  <c:v>521</c:v>
                </c:pt>
                <c:pt idx="43">
                  <c:v>527</c:v>
                </c:pt>
                <c:pt idx="44">
                  <c:v>530</c:v>
                </c:pt>
                <c:pt idx="45">
                  <c:v>546</c:v>
                </c:pt>
                <c:pt idx="46">
                  <c:v>522</c:v>
                </c:pt>
                <c:pt idx="47">
                  <c:v>510</c:v>
                </c:pt>
                <c:pt idx="48">
                  <c:v>565</c:v>
                </c:pt>
                <c:pt idx="49">
                  <c:v>599</c:v>
                </c:pt>
                <c:pt idx="50">
                  <c:v>556</c:v>
                </c:pt>
                <c:pt idx="51">
                  <c:v>545</c:v>
                </c:pt>
                <c:pt idx="52">
                  <c:v>532</c:v>
                </c:pt>
                <c:pt idx="53">
                  <c:v>507</c:v>
                </c:pt>
                <c:pt idx="54">
                  <c:v>498</c:v>
                </c:pt>
                <c:pt idx="55">
                  <c:v>540</c:v>
                </c:pt>
                <c:pt idx="56">
                  <c:v>540</c:v>
                </c:pt>
                <c:pt idx="57">
                  <c:v>546</c:v>
                </c:pt>
                <c:pt idx="58">
                  <c:v>551</c:v>
                </c:pt>
                <c:pt idx="59">
                  <c:v>547</c:v>
                </c:pt>
                <c:pt idx="60">
                  <c:v>542</c:v>
                </c:pt>
                <c:pt idx="61">
                  <c:v>529</c:v>
                </c:pt>
                <c:pt idx="62">
                  <c:v>574</c:v>
                </c:pt>
                <c:pt idx="63">
                  <c:v>572</c:v>
                </c:pt>
                <c:pt idx="64">
                  <c:v>575</c:v>
                </c:pt>
                <c:pt idx="65">
                  <c:v>554</c:v>
                </c:pt>
                <c:pt idx="66">
                  <c:v>527</c:v>
                </c:pt>
                <c:pt idx="67">
                  <c:v>480</c:v>
                </c:pt>
                <c:pt idx="68">
                  <c:v>409</c:v>
                </c:pt>
                <c:pt idx="69">
                  <c:v>381</c:v>
                </c:pt>
                <c:pt idx="70">
                  <c:v>425</c:v>
                </c:pt>
                <c:pt idx="71">
                  <c:v>461</c:v>
                </c:pt>
                <c:pt idx="72">
                  <c:v>495</c:v>
                </c:pt>
                <c:pt idx="73">
                  <c:v>505</c:v>
                </c:pt>
                <c:pt idx="74">
                  <c:v>495</c:v>
                </c:pt>
                <c:pt idx="75">
                  <c:v>478</c:v>
                </c:pt>
                <c:pt idx="76">
                  <c:v>523</c:v>
                </c:pt>
                <c:pt idx="77">
                  <c:v>519</c:v>
                </c:pt>
                <c:pt idx="78">
                  <c:v>524</c:v>
                </c:pt>
                <c:pt idx="79">
                  <c:v>502</c:v>
                </c:pt>
                <c:pt idx="80">
                  <c:v>465</c:v>
                </c:pt>
                <c:pt idx="81">
                  <c:v>424</c:v>
                </c:pt>
                <c:pt idx="82">
                  <c:v>408</c:v>
                </c:pt>
                <c:pt idx="83">
                  <c:v>417</c:v>
                </c:pt>
                <c:pt idx="84">
                  <c:v>419</c:v>
                </c:pt>
                <c:pt idx="85">
                  <c:v>425</c:v>
                </c:pt>
                <c:pt idx="86">
                  <c:v>440</c:v>
                </c:pt>
                <c:pt idx="87">
                  <c:v>403</c:v>
                </c:pt>
                <c:pt idx="88">
                  <c:v>400</c:v>
                </c:pt>
                <c:pt idx="89">
                  <c:v>368</c:v>
                </c:pt>
                <c:pt idx="90">
                  <c:v>387</c:v>
                </c:pt>
                <c:pt idx="91">
                  <c:v>420</c:v>
                </c:pt>
                <c:pt idx="92">
                  <c:v>424</c:v>
                </c:pt>
                <c:pt idx="93">
                  <c:v>425</c:v>
                </c:pt>
                <c:pt idx="94">
                  <c:v>391</c:v>
                </c:pt>
                <c:pt idx="95">
                  <c:v>388</c:v>
                </c:pt>
                <c:pt idx="96">
                  <c:v>375</c:v>
                </c:pt>
                <c:pt idx="97">
                  <c:v>404</c:v>
                </c:pt>
                <c:pt idx="98">
                  <c:v>417</c:v>
                </c:pt>
                <c:pt idx="99">
                  <c:v>429</c:v>
                </c:pt>
                <c:pt idx="100">
                  <c:v>416</c:v>
                </c:pt>
                <c:pt idx="101">
                  <c:v>415</c:v>
                </c:pt>
                <c:pt idx="102">
                  <c:v>403</c:v>
                </c:pt>
                <c:pt idx="103">
                  <c:v>396</c:v>
                </c:pt>
                <c:pt idx="104">
                  <c:v>432</c:v>
                </c:pt>
                <c:pt idx="105">
                  <c:v>442</c:v>
                </c:pt>
                <c:pt idx="106">
                  <c:v>440</c:v>
                </c:pt>
                <c:pt idx="107">
                  <c:v>430</c:v>
                </c:pt>
                <c:pt idx="108">
                  <c:v>404</c:v>
                </c:pt>
                <c:pt idx="109">
                  <c:v>396</c:v>
                </c:pt>
                <c:pt idx="110">
                  <c:v>394</c:v>
                </c:pt>
                <c:pt idx="111">
                  <c:v>436</c:v>
                </c:pt>
                <c:pt idx="112">
                  <c:v>445</c:v>
                </c:pt>
                <c:pt idx="113">
                  <c:v>450</c:v>
                </c:pt>
                <c:pt idx="114">
                  <c:v>440</c:v>
                </c:pt>
                <c:pt idx="115">
                  <c:v>434</c:v>
                </c:pt>
                <c:pt idx="116">
                  <c:v>427</c:v>
                </c:pt>
                <c:pt idx="117">
                  <c:v>425</c:v>
                </c:pt>
                <c:pt idx="118">
                  <c:v>444</c:v>
                </c:pt>
                <c:pt idx="119">
                  <c:v>453</c:v>
                </c:pt>
                <c:pt idx="120">
                  <c:v>466</c:v>
                </c:pt>
                <c:pt idx="121">
                  <c:v>462</c:v>
                </c:pt>
                <c:pt idx="122">
                  <c:v>437</c:v>
                </c:pt>
                <c:pt idx="123">
                  <c:v>440</c:v>
                </c:pt>
                <c:pt idx="124">
                  <c:v>441</c:v>
                </c:pt>
                <c:pt idx="125">
                  <c:v>474</c:v>
                </c:pt>
                <c:pt idx="126">
                  <c:v>484</c:v>
                </c:pt>
                <c:pt idx="127">
                  <c:v>494</c:v>
                </c:pt>
                <c:pt idx="128">
                  <c:v>482</c:v>
                </c:pt>
                <c:pt idx="129">
                  <c:v>463</c:v>
                </c:pt>
                <c:pt idx="130">
                  <c:v>439</c:v>
                </c:pt>
                <c:pt idx="131">
                  <c:v>410</c:v>
                </c:pt>
                <c:pt idx="132">
                  <c:v>450</c:v>
                </c:pt>
                <c:pt idx="133">
                  <c:v>474</c:v>
                </c:pt>
                <c:pt idx="134">
                  <c:v>484</c:v>
                </c:pt>
                <c:pt idx="135">
                  <c:v>485</c:v>
                </c:pt>
                <c:pt idx="136">
                  <c:v>487</c:v>
                </c:pt>
                <c:pt idx="137">
                  <c:v>454</c:v>
                </c:pt>
                <c:pt idx="138">
                  <c:v>447</c:v>
                </c:pt>
                <c:pt idx="139">
                  <c:v>501</c:v>
                </c:pt>
                <c:pt idx="140">
                  <c:v>524</c:v>
                </c:pt>
                <c:pt idx="141">
                  <c:v>520</c:v>
                </c:pt>
                <c:pt idx="142">
                  <c:v>510</c:v>
                </c:pt>
                <c:pt idx="143">
                  <c:v>507</c:v>
                </c:pt>
                <c:pt idx="144">
                  <c:v>504</c:v>
                </c:pt>
                <c:pt idx="145">
                  <c:v>509</c:v>
                </c:pt>
                <c:pt idx="146">
                  <c:v>545</c:v>
                </c:pt>
                <c:pt idx="147">
                  <c:v>544</c:v>
                </c:pt>
                <c:pt idx="148">
                  <c:v>546</c:v>
                </c:pt>
                <c:pt idx="149">
                  <c:v>539</c:v>
                </c:pt>
                <c:pt idx="150">
                  <c:v>524</c:v>
                </c:pt>
                <c:pt idx="151">
                  <c:v>516</c:v>
                </c:pt>
                <c:pt idx="152">
                  <c:v>508</c:v>
                </c:pt>
                <c:pt idx="153">
                  <c:v>555</c:v>
                </c:pt>
                <c:pt idx="154">
                  <c:v>548</c:v>
                </c:pt>
                <c:pt idx="155">
                  <c:v>543</c:v>
                </c:pt>
                <c:pt idx="156">
                  <c:v>533</c:v>
                </c:pt>
                <c:pt idx="157">
                  <c:v>531</c:v>
                </c:pt>
                <c:pt idx="158">
                  <c:v>507</c:v>
                </c:pt>
                <c:pt idx="159">
                  <c:v>492</c:v>
                </c:pt>
                <c:pt idx="160">
                  <c:v>508</c:v>
                </c:pt>
                <c:pt idx="161">
                  <c:v>511</c:v>
                </c:pt>
                <c:pt idx="162">
                  <c:v>499</c:v>
                </c:pt>
                <c:pt idx="163">
                  <c:v>498</c:v>
                </c:pt>
                <c:pt idx="164">
                  <c:v>479</c:v>
                </c:pt>
                <c:pt idx="165">
                  <c:v>448</c:v>
                </c:pt>
                <c:pt idx="166">
                  <c:v>433</c:v>
                </c:pt>
                <c:pt idx="167">
                  <c:v>422</c:v>
                </c:pt>
                <c:pt idx="168">
                  <c:v>410</c:v>
                </c:pt>
                <c:pt idx="169">
                  <c:v>398</c:v>
                </c:pt>
                <c:pt idx="170">
                  <c:v>387</c:v>
                </c:pt>
                <c:pt idx="171">
                  <c:v>386</c:v>
                </c:pt>
                <c:pt idx="172">
                  <c:v>398</c:v>
                </c:pt>
                <c:pt idx="173">
                  <c:v>463</c:v>
                </c:pt>
                <c:pt idx="174">
                  <c:v>522</c:v>
                </c:pt>
                <c:pt idx="175">
                  <c:v>556</c:v>
                </c:pt>
                <c:pt idx="176">
                  <c:v>570</c:v>
                </c:pt>
                <c:pt idx="177">
                  <c:v>565</c:v>
                </c:pt>
                <c:pt idx="178">
                  <c:v>563</c:v>
                </c:pt>
                <c:pt idx="179">
                  <c:v>553</c:v>
                </c:pt>
                <c:pt idx="180">
                  <c:v>482</c:v>
                </c:pt>
                <c:pt idx="181">
                  <c:v>495</c:v>
                </c:pt>
                <c:pt idx="182">
                  <c:v>500</c:v>
                </c:pt>
                <c:pt idx="183">
                  <c:v>493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日別データ!D1</c:f>
              <c:strCache>
                <c:ptCount val="1"/>
                <c:pt idx="0">
                  <c:v>7日移動平均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2026-07-13</c:v>
                </c:pt>
                <c:pt idx="1">
                  <c:v>2026-07-14</c:v>
                </c:pt>
                <c:pt idx="2">
                  <c:v>2026-07-15</c:v>
                </c:pt>
                <c:pt idx="3">
                  <c:v>2026-07-16</c:v>
                </c:pt>
                <c:pt idx="4">
                  <c:v>2026-07-17</c:v>
                </c:pt>
                <c:pt idx="5">
                  <c:v>2026-07-18</c:v>
                </c:pt>
                <c:pt idx="6">
                  <c:v>2026-07-19</c:v>
                </c:pt>
                <c:pt idx="7">
                  <c:v>2026-07-20</c:v>
                </c:pt>
                <c:pt idx="8">
                  <c:v>2026-07-21</c:v>
                </c:pt>
                <c:pt idx="9">
                  <c:v>2026-07-22</c:v>
                </c:pt>
                <c:pt idx="10">
                  <c:v>2026-07-23</c:v>
                </c:pt>
                <c:pt idx="11">
                  <c:v>2026-07-24</c:v>
                </c:pt>
                <c:pt idx="12">
                  <c:v>2026-07-25</c:v>
                </c:pt>
                <c:pt idx="13">
                  <c:v>2026-07-26</c:v>
                </c:pt>
                <c:pt idx="14">
                  <c:v>2026-07-27</c:v>
                </c:pt>
                <c:pt idx="15">
                  <c:v>2026-07-28</c:v>
                </c:pt>
                <c:pt idx="16">
                  <c:v>2026-07-29</c:v>
                </c:pt>
                <c:pt idx="17">
                  <c:v>2026-07-30</c:v>
                </c:pt>
                <c:pt idx="18">
                  <c:v>2026-07-31</c:v>
                </c:pt>
                <c:pt idx="19">
                  <c:v>2026-08-01</c:v>
                </c:pt>
                <c:pt idx="20">
                  <c:v>2026-08-02</c:v>
                </c:pt>
                <c:pt idx="21">
                  <c:v>2026-08-03</c:v>
                </c:pt>
                <c:pt idx="22">
                  <c:v>2026-08-04</c:v>
                </c:pt>
                <c:pt idx="23">
                  <c:v>2026-08-05</c:v>
                </c:pt>
                <c:pt idx="24">
                  <c:v>2026-08-06</c:v>
                </c:pt>
                <c:pt idx="25">
                  <c:v>2026-08-07</c:v>
                </c:pt>
                <c:pt idx="26">
                  <c:v>2026-08-08</c:v>
                </c:pt>
                <c:pt idx="27">
                  <c:v>2026-08-09</c:v>
                </c:pt>
                <c:pt idx="28">
                  <c:v>2026-08-10</c:v>
                </c:pt>
                <c:pt idx="29">
                  <c:v>2026-08-11</c:v>
                </c:pt>
                <c:pt idx="30">
                  <c:v>2026-08-12</c:v>
                </c:pt>
                <c:pt idx="31">
                  <c:v>2026-08-13</c:v>
                </c:pt>
                <c:pt idx="32">
                  <c:v>2026-08-14</c:v>
                </c:pt>
                <c:pt idx="33">
                  <c:v>2026-08-15</c:v>
                </c:pt>
                <c:pt idx="34">
                  <c:v>2026-08-16</c:v>
                </c:pt>
                <c:pt idx="35">
                  <c:v>2026-08-17</c:v>
                </c:pt>
                <c:pt idx="36">
                  <c:v>2026-08-18</c:v>
                </c:pt>
                <c:pt idx="37">
                  <c:v>2026-08-19</c:v>
                </c:pt>
                <c:pt idx="38">
                  <c:v>2026-08-20</c:v>
                </c:pt>
                <c:pt idx="39">
                  <c:v>2026-08-21</c:v>
                </c:pt>
                <c:pt idx="40">
                  <c:v>2026-08-22</c:v>
                </c:pt>
                <c:pt idx="41">
                  <c:v>2026-08-23</c:v>
                </c:pt>
                <c:pt idx="42">
                  <c:v>2026-08-24</c:v>
                </c:pt>
                <c:pt idx="43">
                  <c:v>2026-08-25</c:v>
                </c:pt>
                <c:pt idx="44">
                  <c:v>2026-08-26</c:v>
                </c:pt>
                <c:pt idx="45">
                  <c:v>2026-08-27</c:v>
                </c:pt>
                <c:pt idx="46">
                  <c:v>2026-08-28</c:v>
                </c:pt>
                <c:pt idx="47">
                  <c:v>2026-08-29</c:v>
                </c:pt>
                <c:pt idx="48">
                  <c:v>2026-08-30</c:v>
                </c:pt>
                <c:pt idx="49">
                  <c:v>2026-08-31</c:v>
                </c:pt>
                <c:pt idx="50">
                  <c:v>2026-09-01</c:v>
                </c:pt>
                <c:pt idx="51">
                  <c:v>2026-09-02</c:v>
                </c:pt>
                <c:pt idx="52">
                  <c:v>2026-09-03</c:v>
                </c:pt>
                <c:pt idx="53">
                  <c:v>2026-09-04</c:v>
                </c:pt>
                <c:pt idx="54">
                  <c:v>2026-09-05</c:v>
                </c:pt>
                <c:pt idx="55">
                  <c:v>2026-09-06</c:v>
                </c:pt>
                <c:pt idx="56">
                  <c:v>2026-09-07</c:v>
                </c:pt>
                <c:pt idx="57">
                  <c:v>2026-09-08</c:v>
                </c:pt>
                <c:pt idx="58">
                  <c:v>2026-09-09</c:v>
                </c:pt>
                <c:pt idx="59">
                  <c:v>2026-09-10</c:v>
                </c:pt>
                <c:pt idx="60">
                  <c:v>2026-09-11</c:v>
                </c:pt>
                <c:pt idx="61">
                  <c:v>2026-09-12</c:v>
                </c:pt>
                <c:pt idx="62">
                  <c:v>2026-09-13</c:v>
                </c:pt>
                <c:pt idx="63">
                  <c:v>2026-09-14</c:v>
                </c:pt>
                <c:pt idx="64">
                  <c:v>2026-09-15</c:v>
                </c:pt>
                <c:pt idx="65">
                  <c:v>2026-09-16</c:v>
                </c:pt>
                <c:pt idx="66">
                  <c:v>2026-09-17</c:v>
                </c:pt>
                <c:pt idx="67">
                  <c:v>2026-09-18</c:v>
                </c:pt>
                <c:pt idx="68">
                  <c:v>2026-09-19</c:v>
                </c:pt>
                <c:pt idx="69">
                  <c:v>2026-09-20</c:v>
                </c:pt>
                <c:pt idx="70">
                  <c:v>2026-09-21</c:v>
                </c:pt>
                <c:pt idx="71">
                  <c:v>2026-09-22</c:v>
                </c:pt>
                <c:pt idx="72">
                  <c:v>2026-09-23</c:v>
                </c:pt>
                <c:pt idx="73">
                  <c:v>2026-09-24</c:v>
                </c:pt>
                <c:pt idx="74">
                  <c:v>2026-09-25</c:v>
                </c:pt>
                <c:pt idx="75">
                  <c:v>2026-09-26</c:v>
                </c:pt>
                <c:pt idx="76">
                  <c:v>2026-09-27</c:v>
                </c:pt>
                <c:pt idx="77">
                  <c:v>2026-09-28</c:v>
                </c:pt>
                <c:pt idx="78">
                  <c:v>2026-09-29</c:v>
                </c:pt>
                <c:pt idx="79">
                  <c:v>2026-09-30</c:v>
                </c:pt>
                <c:pt idx="80">
                  <c:v>2026-10-01</c:v>
                </c:pt>
                <c:pt idx="81">
                  <c:v>2026-10-02</c:v>
                </c:pt>
                <c:pt idx="82">
                  <c:v>2026-10-03</c:v>
                </c:pt>
                <c:pt idx="83">
                  <c:v>2026-10-04</c:v>
                </c:pt>
                <c:pt idx="84">
                  <c:v>2026-10-05</c:v>
                </c:pt>
                <c:pt idx="85">
                  <c:v>2026-10-06</c:v>
                </c:pt>
                <c:pt idx="86">
                  <c:v>2026-10-07</c:v>
                </c:pt>
                <c:pt idx="87">
                  <c:v>2026-10-08</c:v>
                </c:pt>
                <c:pt idx="88">
                  <c:v>2026-10-09</c:v>
                </c:pt>
                <c:pt idx="89">
                  <c:v>2026-10-10</c:v>
                </c:pt>
                <c:pt idx="90">
                  <c:v>2026-10-11</c:v>
                </c:pt>
                <c:pt idx="91">
                  <c:v>2026-10-12</c:v>
                </c:pt>
                <c:pt idx="92">
                  <c:v>2026-10-13</c:v>
                </c:pt>
                <c:pt idx="93">
                  <c:v>2026-10-14</c:v>
                </c:pt>
                <c:pt idx="94">
                  <c:v>2026-10-15</c:v>
                </c:pt>
                <c:pt idx="95">
                  <c:v>2026-10-16</c:v>
                </c:pt>
                <c:pt idx="96">
                  <c:v>2026-10-17</c:v>
                </c:pt>
                <c:pt idx="97">
                  <c:v>2026-10-18</c:v>
                </c:pt>
                <c:pt idx="98">
                  <c:v>2026-10-19</c:v>
                </c:pt>
                <c:pt idx="99">
                  <c:v>2026-10-20</c:v>
                </c:pt>
                <c:pt idx="100">
                  <c:v>2026-10-21</c:v>
                </c:pt>
                <c:pt idx="101">
                  <c:v>2026-10-22</c:v>
                </c:pt>
                <c:pt idx="102">
                  <c:v>2026-10-23</c:v>
                </c:pt>
                <c:pt idx="103">
                  <c:v>2026-10-24</c:v>
                </c:pt>
                <c:pt idx="104">
                  <c:v>2026-10-25</c:v>
                </c:pt>
                <c:pt idx="105">
                  <c:v>2026-10-26</c:v>
                </c:pt>
                <c:pt idx="106">
                  <c:v>2026-10-27</c:v>
                </c:pt>
                <c:pt idx="107">
                  <c:v>2026-10-28</c:v>
                </c:pt>
                <c:pt idx="108">
                  <c:v>2026-10-29</c:v>
                </c:pt>
                <c:pt idx="109">
                  <c:v>2026-10-30</c:v>
                </c:pt>
                <c:pt idx="110">
                  <c:v>2026-10-31</c:v>
                </c:pt>
                <c:pt idx="111">
                  <c:v>2026-11-01</c:v>
                </c:pt>
                <c:pt idx="112">
                  <c:v>2026-11-02</c:v>
                </c:pt>
                <c:pt idx="113">
                  <c:v>2026-11-03</c:v>
                </c:pt>
                <c:pt idx="114">
                  <c:v>2026-11-04</c:v>
                </c:pt>
                <c:pt idx="115">
                  <c:v>2026-11-05</c:v>
                </c:pt>
                <c:pt idx="116">
                  <c:v>2026-11-06</c:v>
                </c:pt>
                <c:pt idx="117">
                  <c:v>2026-11-07</c:v>
                </c:pt>
                <c:pt idx="118">
                  <c:v>2026-11-08</c:v>
                </c:pt>
                <c:pt idx="119">
                  <c:v>2026-11-09</c:v>
                </c:pt>
                <c:pt idx="120">
                  <c:v>2026-11-10</c:v>
                </c:pt>
                <c:pt idx="121">
                  <c:v>2026-11-11</c:v>
                </c:pt>
                <c:pt idx="122">
                  <c:v>2026-11-12</c:v>
                </c:pt>
                <c:pt idx="123">
                  <c:v>2026-11-13</c:v>
                </c:pt>
                <c:pt idx="124">
                  <c:v>2026-11-14</c:v>
                </c:pt>
                <c:pt idx="125">
                  <c:v>2026-11-15</c:v>
                </c:pt>
                <c:pt idx="126">
                  <c:v>2026-11-16</c:v>
                </c:pt>
                <c:pt idx="127">
                  <c:v>2026-11-17</c:v>
                </c:pt>
                <c:pt idx="128">
                  <c:v>2026-11-18</c:v>
                </c:pt>
                <c:pt idx="129">
                  <c:v>2026-11-19</c:v>
                </c:pt>
                <c:pt idx="130">
                  <c:v>2026-11-20</c:v>
                </c:pt>
                <c:pt idx="131">
                  <c:v>2026-11-21</c:v>
                </c:pt>
                <c:pt idx="132">
                  <c:v>2026-11-22</c:v>
                </c:pt>
                <c:pt idx="133">
                  <c:v>2026-11-23</c:v>
                </c:pt>
                <c:pt idx="134">
                  <c:v>2026-11-24</c:v>
                </c:pt>
                <c:pt idx="135">
                  <c:v>2026-11-25</c:v>
                </c:pt>
                <c:pt idx="136">
                  <c:v>2026-11-26</c:v>
                </c:pt>
                <c:pt idx="137">
                  <c:v>2026-11-27</c:v>
                </c:pt>
                <c:pt idx="138">
                  <c:v>2026-11-28</c:v>
                </c:pt>
                <c:pt idx="139">
                  <c:v>2026-11-29</c:v>
                </c:pt>
                <c:pt idx="140">
                  <c:v>2026-11-30</c:v>
                </c:pt>
                <c:pt idx="141">
                  <c:v>2026-12-01</c:v>
                </c:pt>
                <c:pt idx="142">
                  <c:v>2026-12-02</c:v>
                </c:pt>
                <c:pt idx="143">
                  <c:v>2026-12-03</c:v>
                </c:pt>
                <c:pt idx="144">
                  <c:v>2026-12-04</c:v>
                </c:pt>
                <c:pt idx="145">
                  <c:v>2026-12-05</c:v>
                </c:pt>
                <c:pt idx="146">
                  <c:v>2026-12-06</c:v>
                </c:pt>
                <c:pt idx="147">
                  <c:v>2026-12-07</c:v>
                </c:pt>
                <c:pt idx="148">
                  <c:v>2026-12-08</c:v>
                </c:pt>
                <c:pt idx="149">
                  <c:v>2026-12-09</c:v>
                </c:pt>
                <c:pt idx="150">
                  <c:v>2026-12-10</c:v>
                </c:pt>
                <c:pt idx="151">
                  <c:v>2026-12-11</c:v>
                </c:pt>
                <c:pt idx="152">
                  <c:v>2026-12-12</c:v>
                </c:pt>
                <c:pt idx="153">
                  <c:v>2026-12-13</c:v>
                </c:pt>
                <c:pt idx="154">
                  <c:v>2026-12-14</c:v>
                </c:pt>
                <c:pt idx="155">
                  <c:v>2026-12-15</c:v>
                </c:pt>
                <c:pt idx="156">
                  <c:v>2026-12-16</c:v>
                </c:pt>
                <c:pt idx="157">
                  <c:v>2026-12-17</c:v>
                </c:pt>
                <c:pt idx="158">
                  <c:v>2026-12-18</c:v>
                </c:pt>
                <c:pt idx="159">
                  <c:v>2026-12-19</c:v>
                </c:pt>
                <c:pt idx="160">
                  <c:v>2026-12-20</c:v>
                </c:pt>
                <c:pt idx="161">
                  <c:v>2026-12-21</c:v>
                </c:pt>
                <c:pt idx="162">
                  <c:v>2026-12-22</c:v>
                </c:pt>
                <c:pt idx="163">
                  <c:v>2026-12-23</c:v>
                </c:pt>
                <c:pt idx="164">
                  <c:v>2026-12-24</c:v>
                </c:pt>
                <c:pt idx="165">
                  <c:v>2026-12-25</c:v>
                </c:pt>
                <c:pt idx="166">
                  <c:v>2026-12-26</c:v>
                </c:pt>
                <c:pt idx="167">
                  <c:v>2026-12-27</c:v>
                </c:pt>
                <c:pt idx="168">
                  <c:v>2026-12-28</c:v>
                </c:pt>
                <c:pt idx="169">
                  <c:v>2026-12-29</c:v>
                </c:pt>
                <c:pt idx="170">
                  <c:v>2026-12-30</c:v>
                </c:pt>
                <c:pt idx="171">
                  <c:v>2026-12-31</c:v>
                </c:pt>
                <c:pt idx="172">
                  <c:v>2027-01-01</c:v>
                </c:pt>
                <c:pt idx="173">
                  <c:v>2027-01-02</c:v>
                </c:pt>
                <c:pt idx="174">
                  <c:v>2027-01-03</c:v>
                </c:pt>
                <c:pt idx="175">
                  <c:v>2027-01-04</c:v>
                </c:pt>
                <c:pt idx="176">
                  <c:v>2027-01-05</c:v>
                </c:pt>
                <c:pt idx="177">
                  <c:v>2027-01-06</c:v>
                </c:pt>
                <c:pt idx="178">
                  <c:v>2027-01-07</c:v>
                </c:pt>
                <c:pt idx="179">
                  <c:v>2027-01-08</c:v>
                </c:pt>
                <c:pt idx="180">
                  <c:v>2027-01-09</c:v>
                </c:pt>
                <c:pt idx="181">
                  <c:v>2027-01-10</c:v>
                </c:pt>
                <c:pt idx="182">
                  <c:v>2027-01-11</c:v>
                </c:pt>
                <c:pt idx="183">
                  <c:v>2027-01-12</c:v>
                </c:pt>
              </c:strCache>
            </c:strRef>
          </c:cat>
          <c:val>
            <c:numRef>
              <c:f>日別データ!$D$2:$D$185</c:f>
              <c:numCache>
                <c:formatCode>General</c:formatCode>
                <c:ptCount val="184"/>
                <c:pt idx="6">
                  <c:v>275</c:v>
                </c:pt>
                <c:pt idx="7">
                  <c:v>291.285714285714</c:v>
                </c:pt>
                <c:pt idx="8">
                  <c:v>292.714285714286</c:v>
                </c:pt>
                <c:pt idx="9">
                  <c:v>297.285714285714</c:v>
                </c:pt>
                <c:pt idx="10">
                  <c:v>302.142857142857</c:v>
                </c:pt>
                <c:pt idx="11">
                  <c:v>302.714285714286</c:v>
                </c:pt>
                <c:pt idx="12">
                  <c:v>312.428571428571</c:v>
                </c:pt>
                <c:pt idx="13">
                  <c:v>330.714285714286</c:v>
                </c:pt>
                <c:pt idx="14">
                  <c:v>337.428571428571</c:v>
                </c:pt>
                <c:pt idx="15">
                  <c:v>340.571428571429</c:v>
                </c:pt>
                <c:pt idx="16">
                  <c:v>342.142857142857</c:v>
                </c:pt>
                <c:pt idx="17">
                  <c:v>344</c:v>
                </c:pt>
                <c:pt idx="18">
                  <c:v>356.571428571429</c:v>
                </c:pt>
                <c:pt idx="19">
                  <c:v>370.571428571429</c:v>
                </c:pt>
                <c:pt idx="20">
                  <c:v>377</c:v>
                </c:pt>
                <c:pt idx="21">
                  <c:v>381.857142857143</c:v>
                </c:pt>
                <c:pt idx="22">
                  <c:v>392.428571428571</c:v>
                </c:pt>
                <c:pt idx="23">
                  <c:v>404.428571428571</c:v>
                </c:pt>
                <c:pt idx="24">
                  <c:v>417.571428571429</c:v>
                </c:pt>
                <c:pt idx="25">
                  <c:v>423.428571428571</c:v>
                </c:pt>
                <c:pt idx="26">
                  <c:v>430.571428571429</c:v>
                </c:pt>
                <c:pt idx="27">
                  <c:v>431.857142857143</c:v>
                </c:pt>
                <c:pt idx="28">
                  <c:v>430.857142857143</c:v>
                </c:pt>
                <c:pt idx="29">
                  <c:v>429</c:v>
                </c:pt>
                <c:pt idx="30">
                  <c:v>424.714285714286</c:v>
                </c:pt>
                <c:pt idx="31">
                  <c:v>421.428571428571</c:v>
                </c:pt>
                <c:pt idx="32">
                  <c:v>423.428571428571</c:v>
                </c:pt>
                <c:pt idx="33">
                  <c:v>434.142857142857</c:v>
                </c:pt>
                <c:pt idx="34">
                  <c:v>447.142857142857</c:v>
                </c:pt>
                <c:pt idx="35">
                  <c:v>463.714285714286</c:v>
                </c:pt>
                <c:pt idx="36">
                  <c:v>478.428571428571</c:v>
                </c:pt>
                <c:pt idx="37">
                  <c:v>490.142857142857</c:v>
                </c:pt>
                <c:pt idx="38">
                  <c:v>500.142857142857</c:v>
                </c:pt>
                <c:pt idx="39">
                  <c:v>507.714285714286</c:v>
                </c:pt>
                <c:pt idx="40">
                  <c:v>510.428571428571</c:v>
                </c:pt>
                <c:pt idx="41">
                  <c:v>510.714285714286</c:v>
                </c:pt>
                <c:pt idx="42">
                  <c:v>508.428571428571</c:v>
                </c:pt>
                <c:pt idx="43">
                  <c:v>506.142857142857</c:v>
                </c:pt>
                <c:pt idx="44">
                  <c:v>507.285714285714</c:v>
                </c:pt>
                <c:pt idx="45">
                  <c:v>512.571428571429</c:v>
                </c:pt>
                <c:pt idx="46">
                  <c:v>518</c:v>
                </c:pt>
                <c:pt idx="47">
                  <c:v>523.714285714286</c:v>
                </c:pt>
                <c:pt idx="48">
                  <c:v>531.571428571429</c:v>
                </c:pt>
                <c:pt idx="49">
                  <c:v>542.714285714286</c:v>
                </c:pt>
                <c:pt idx="50">
                  <c:v>546.857142857143</c:v>
                </c:pt>
                <c:pt idx="51">
                  <c:v>549</c:v>
                </c:pt>
                <c:pt idx="52">
                  <c:v>547</c:v>
                </c:pt>
                <c:pt idx="53">
                  <c:v>544.857142857143</c:v>
                </c:pt>
                <c:pt idx="54">
                  <c:v>543.142857142857</c:v>
                </c:pt>
                <c:pt idx="55">
                  <c:v>539.571428571429</c:v>
                </c:pt>
                <c:pt idx="56">
                  <c:v>531.142857142857</c:v>
                </c:pt>
                <c:pt idx="57">
                  <c:v>529.714285714286</c:v>
                </c:pt>
                <c:pt idx="58">
                  <c:v>530.571428571429</c:v>
                </c:pt>
                <c:pt idx="59">
                  <c:v>532.714285714286</c:v>
                </c:pt>
                <c:pt idx="60">
                  <c:v>537.714285714286</c:v>
                </c:pt>
                <c:pt idx="61">
                  <c:v>542.142857142857</c:v>
                </c:pt>
                <c:pt idx="62">
                  <c:v>547</c:v>
                </c:pt>
                <c:pt idx="63">
                  <c:v>551.571428571429</c:v>
                </c:pt>
                <c:pt idx="64">
                  <c:v>555.714285714286</c:v>
                </c:pt>
                <c:pt idx="65">
                  <c:v>556.142857142857</c:v>
                </c:pt>
                <c:pt idx="66">
                  <c:v>553.285714285714</c:v>
                </c:pt>
                <c:pt idx="67">
                  <c:v>544.428571428571</c:v>
                </c:pt>
                <c:pt idx="68">
                  <c:v>527.285714285714</c:v>
                </c:pt>
                <c:pt idx="69">
                  <c:v>499.714285714286</c:v>
                </c:pt>
                <c:pt idx="70">
                  <c:v>478.714285714286</c:v>
                </c:pt>
                <c:pt idx="71">
                  <c:v>462.428571428571</c:v>
                </c:pt>
                <c:pt idx="72">
                  <c:v>454</c:v>
                </c:pt>
                <c:pt idx="73">
                  <c:v>450.857142857143</c:v>
                </c:pt>
                <c:pt idx="74">
                  <c:v>453</c:v>
                </c:pt>
                <c:pt idx="75">
                  <c:v>462.857142857143</c:v>
                </c:pt>
                <c:pt idx="76">
                  <c:v>483.142857142857</c:v>
                </c:pt>
                <c:pt idx="77">
                  <c:v>496.571428571429</c:v>
                </c:pt>
                <c:pt idx="78">
                  <c:v>505.571428571429</c:v>
                </c:pt>
                <c:pt idx="79">
                  <c:v>506.571428571429</c:v>
                </c:pt>
                <c:pt idx="80">
                  <c:v>500.857142857143</c:v>
                </c:pt>
                <c:pt idx="81">
                  <c:v>490.714285714286</c:v>
                </c:pt>
                <c:pt idx="82">
                  <c:v>480.714285714286</c:v>
                </c:pt>
                <c:pt idx="83">
                  <c:v>465.571428571429</c:v>
                </c:pt>
                <c:pt idx="84">
                  <c:v>451.285714285714</c:v>
                </c:pt>
                <c:pt idx="85">
                  <c:v>437.142857142857</c:v>
                </c:pt>
                <c:pt idx="86">
                  <c:v>428.285714285714</c:v>
                </c:pt>
                <c:pt idx="87">
                  <c:v>419.428571428571</c:v>
                </c:pt>
                <c:pt idx="88">
                  <c:v>416</c:v>
                </c:pt>
                <c:pt idx="89">
                  <c:v>410.285714285714</c:v>
                </c:pt>
                <c:pt idx="90">
                  <c:v>406</c:v>
                </c:pt>
                <c:pt idx="91">
                  <c:v>406.142857142857</c:v>
                </c:pt>
                <c:pt idx="92">
                  <c:v>406</c:v>
                </c:pt>
                <c:pt idx="93">
                  <c:v>403.857142857143</c:v>
                </c:pt>
                <c:pt idx="94">
                  <c:v>402.142857142857</c:v>
                </c:pt>
                <c:pt idx="95">
                  <c:v>400.428571428571</c:v>
                </c:pt>
                <c:pt idx="96">
                  <c:v>401.428571428571</c:v>
                </c:pt>
                <c:pt idx="97">
                  <c:v>403.857142857143</c:v>
                </c:pt>
                <c:pt idx="98">
                  <c:v>403.428571428571</c:v>
                </c:pt>
                <c:pt idx="99">
                  <c:v>404.142857142857</c:v>
                </c:pt>
                <c:pt idx="100">
                  <c:v>402.857142857143</c:v>
                </c:pt>
                <c:pt idx="101">
                  <c:v>406.285714285714</c:v>
                </c:pt>
                <c:pt idx="102">
                  <c:v>408.428571428571</c:v>
                </c:pt>
                <c:pt idx="103">
                  <c:v>411.428571428571</c:v>
                </c:pt>
                <c:pt idx="104">
                  <c:v>415.428571428571</c:v>
                </c:pt>
                <c:pt idx="105">
                  <c:v>419</c:v>
                </c:pt>
                <c:pt idx="106">
                  <c:v>420.571428571429</c:v>
                </c:pt>
                <c:pt idx="107">
                  <c:v>422.571428571429</c:v>
                </c:pt>
                <c:pt idx="108">
                  <c:v>421</c:v>
                </c:pt>
                <c:pt idx="109">
                  <c:v>420</c:v>
                </c:pt>
                <c:pt idx="110">
                  <c:v>419.714285714286</c:v>
                </c:pt>
                <c:pt idx="111">
                  <c:v>420.285714285714</c:v>
                </c:pt>
                <c:pt idx="112">
                  <c:v>420.714285714286</c:v>
                </c:pt>
                <c:pt idx="113">
                  <c:v>422.142857142857</c:v>
                </c:pt>
                <c:pt idx="114">
                  <c:v>423.571428571429</c:v>
                </c:pt>
                <c:pt idx="115">
                  <c:v>427.857142857143</c:v>
                </c:pt>
                <c:pt idx="116">
                  <c:v>432.285714285714</c:v>
                </c:pt>
                <c:pt idx="117">
                  <c:v>436.714285714286</c:v>
                </c:pt>
                <c:pt idx="118">
                  <c:v>437.857142857143</c:v>
                </c:pt>
                <c:pt idx="119">
                  <c:v>439</c:v>
                </c:pt>
                <c:pt idx="120">
                  <c:v>441.285714285714</c:v>
                </c:pt>
                <c:pt idx="121">
                  <c:v>444.428571428571</c:v>
                </c:pt>
                <c:pt idx="122">
                  <c:v>444.857142857143</c:v>
                </c:pt>
                <c:pt idx="123">
                  <c:v>446.714285714286</c:v>
                </c:pt>
                <c:pt idx="124">
                  <c:v>449</c:v>
                </c:pt>
                <c:pt idx="125">
                  <c:v>453.285714285714</c:v>
                </c:pt>
                <c:pt idx="126">
                  <c:v>457.714285714286</c:v>
                </c:pt>
                <c:pt idx="127">
                  <c:v>461.714285714286</c:v>
                </c:pt>
                <c:pt idx="128">
                  <c:v>464.571428571429</c:v>
                </c:pt>
                <c:pt idx="129">
                  <c:v>468.285714285714</c:v>
                </c:pt>
                <c:pt idx="130">
                  <c:v>468.142857142857</c:v>
                </c:pt>
                <c:pt idx="131">
                  <c:v>463.714285714286</c:v>
                </c:pt>
                <c:pt idx="132">
                  <c:v>460.285714285714</c:v>
                </c:pt>
                <c:pt idx="133">
                  <c:v>458.857142857143</c:v>
                </c:pt>
                <c:pt idx="134">
                  <c:v>457.428571428571</c:v>
                </c:pt>
                <c:pt idx="135">
                  <c:v>457.857142857143</c:v>
                </c:pt>
                <c:pt idx="136">
                  <c:v>461.285714285714</c:v>
                </c:pt>
                <c:pt idx="137">
                  <c:v>463.428571428571</c:v>
                </c:pt>
                <c:pt idx="138">
                  <c:v>468.714285714286</c:v>
                </c:pt>
                <c:pt idx="139">
                  <c:v>476</c:v>
                </c:pt>
                <c:pt idx="140">
                  <c:v>483.142857142857</c:v>
                </c:pt>
                <c:pt idx="141">
                  <c:v>488.285714285714</c:v>
                </c:pt>
                <c:pt idx="142">
                  <c:v>491.857142857143</c:v>
                </c:pt>
                <c:pt idx="143">
                  <c:v>494.714285714286</c:v>
                </c:pt>
                <c:pt idx="144">
                  <c:v>501.857142857143</c:v>
                </c:pt>
                <c:pt idx="145">
                  <c:v>510.714285714286</c:v>
                </c:pt>
                <c:pt idx="146">
                  <c:v>517</c:v>
                </c:pt>
                <c:pt idx="147">
                  <c:v>519.857142857143</c:v>
                </c:pt>
                <c:pt idx="148">
                  <c:v>523.571428571429</c:v>
                </c:pt>
                <c:pt idx="149">
                  <c:v>527.714285714286</c:v>
                </c:pt>
                <c:pt idx="150">
                  <c:v>530.142857142857</c:v>
                </c:pt>
                <c:pt idx="151">
                  <c:v>531.857142857143</c:v>
                </c:pt>
                <c:pt idx="152">
                  <c:v>531.714285714286</c:v>
                </c:pt>
                <c:pt idx="153">
                  <c:v>533.142857142857</c:v>
                </c:pt>
                <c:pt idx="154">
                  <c:v>533.714285714286</c:v>
                </c:pt>
                <c:pt idx="155">
                  <c:v>533.285714285714</c:v>
                </c:pt>
                <c:pt idx="156">
                  <c:v>532.428571428571</c:v>
                </c:pt>
                <c:pt idx="157">
                  <c:v>533.428571428571</c:v>
                </c:pt>
                <c:pt idx="158">
                  <c:v>532.142857142857</c:v>
                </c:pt>
                <c:pt idx="159">
                  <c:v>529.857142857143</c:v>
                </c:pt>
                <c:pt idx="160">
                  <c:v>523.142857142857</c:v>
                </c:pt>
                <c:pt idx="161">
                  <c:v>517.857142857143</c:v>
                </c:pt>
                <c:pt idx="162">
                  <c:v>511.571428571429</c:v>
                </c:pt>
                <c:pt idx="163">
                  <c:v>506.571428571429</c:v>
                </c:pt>
                <c:pt idx="164">
                  <c:v>499.142857142857</c:v>
                </c:pt>
                <c:pt idx="165">
                  <c:v>490.714285714286</c:v>
                </c:pt>
                <c:pt idx="166">
                  <c:v>482.285714285714</c:v>
                </c:pt>
                <c:pt idx="167">
                  <c:v>470</c:v>
                </c:pt>
                <c:pt idx="168">
                  <c:v>455.571428571429</c:v>
                </c:pt>
                <c:pt idx="169">
                  <c:v>441.142857142857</c:v>
                </c:pt>
                <c:pt idx="170">
                  <c:v>425.285714285714</c:v>
                </c:pt>
                <c:pt idx="171">
                  <c:v>412</c:v>
                </c:pt>
                <c:pt idx="172">
                  <c:v>404.857142857143</c:v>
                </c:pt>
                <c:pt idx="173">
                  <c:v>409.142857142857</c:v>
                </c:pt>
                <c:pt idx="174">
                  <c:v>423.428571428571</c:v>
                </c:pt>
                <c:pt idx="175">
                  <c:v>444.285714285714</c:v>
                </c:pt>
                <c:pt idx="176">
                  <c:v>468.857142857143</c:v>
                </c:pt>
                <c:pt idx="177">
                  <c:v>494.285714285714</c:v>
                </c:pt>
                <c:pt idx="178">
                  <c:v>519.571428571429</c:v>
                </c:pt>
                <c:pt idx="179">
                  <c:v>541.714285714286</c:v>
                </c:pt>
                <c:pt idx="180">
                  <c:v>544.428571428571</c:v>
                </c:pt>
                <c:pt idx="181">
                  <c:v>540.571428571429</c:v>
                </c:pt>
                <c:pt idx="182">
                  <c:v>532.571428571429</c:v>
                </c:pt>
                <c:pt idx="183">
                  <c:v>521.571428571429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021680"/>
        <c:axId val="12094689"/>
      </c:lineChart>
      <c:catAx>
        <c:axId val="970216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94689"/>
        <c:crosses val="autoZero"/>
        <c:auto val="1"/>
        <c:lblAlgn val="ctr"/>
        <c:lblOffset val="100"/>
        <c:noMultiLvlLbl val="0"/>
      </c:catAx>
      <c:valAx>
        <c:axId val="12094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216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月別サマリ!C1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月別サマリ!$C$2:$C$8</c:f>
              <c:numCache>
                <c:formatCode>General</c:formatCode>
                <c:ptCount val="7"/>
                <c:pt idx="0">
                  <c:v>323.4</c:v>
                </c:pt>
                <c:pt idx="1">
                  <c:v>476.8</c:v>
                </c:pt>
                <c:pt idx="2">
                  <c:v>514.4</c:v>
                </c:pt>
                <c:pt idx="3">
                  <c:v>412.8</c:v>
                </c:pt>
                <c:pt idx="4">
                  <c:v>458.4</c:v>
                </c:pt>
                <c:pt idx="5">
                  <c:v>495.5</c:v>
                </c:pt>
                <c:pt idx="6">
                  <c:v>513.3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609670"/>
        <c:axId val="56096663"/>
      </c:lineChart>
      <c:catAx>
        <c:axId val="486096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096663"/>
        <c:crosses val="autoZero"/>
        <c:auto val="1"/>
        <c:lblAlgn val="ctr"/>
        <c:lblOffset val="100"/>
        <c:noMultiLvlLbl val="0"/>
      </c:catAx>
      <c:valAx>
        <c:axId val="56096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096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22</xdr:col>
      <xdr:colOff>403920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571920" y="2178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385380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3" t="n">
        <v>233</v>
      </c>
      <c r="D2" s="3"/>
    </row>
    <row r="3" customFormat="false" ht="15" hidden="false" customHeight="false" outlineLevel="0" collapsed="false">
      <c r="A3" s="3" t="s">
        <v>6</v>
      </c>
      <c r="B3" s="4" t="s">
        <v>7</v>
      </c>
      <c r="C3" s="3" t="n">
        <v>347</v>
      </c>
      <c r="D3" s="3"/>
    </row>
    <row r="4" customFormat="false" ht="15" hidden="false" customHeight="false" outlineLevel="0" collapsed="false">
      <c r="A4" s="3" t="s">
        <v>8</v>
      </c>
      <c r="B4" s="4" t="s">
        <v>9</v>
      </c>
      <c r="C4" s="3" t="n">
        <v>343</v>
      </c>
      <c r="D4" s="3"/>
    </row>
    <row r="5" customFormat="false" ht="15" hidden="false" customHeight="false" outlineLevel="0" collapsed="false">
      <c r="A5" s="3" t="s">
        <v>10</v>
      </c>
      <c r="B5" s="4" t="s">
        <v>11</v>
      </c>
      <c r="C5" s="3" t="n">
        <v>323</v>
      </c>
      <c r="D5" s="3"/>
    </row>
    <row r="6" customFormat="false" ht="15" hidden="false" customHeight="false" outlineLevel="0" collapsed="false">
      <c r="A6" s="3" t="s">
        <v>12</v>
      </c>
      <c r="B6" s="4" t="s">
        <v>13</v>
      </c>
      <c r="C6" s="3" t="n">
        <v>284</v>
      </c>
      <c r="D6" s="3"/>
    </row>
    <row r="7" customFormat="false" ht="15" hidden="false" customHeight="false" outlineLevel="0" collapsed="false">
      <c r="A7" s="3" t="s">
        <v>14</v>
      </c>
      <c r="B7" s="4" t="s">
        <v>15</v>
      </c>
      <c r="C7" s="3" t="n">
        <v>160</v>
      </c>
      <c r="D7" s="3"/>
    </row>
    <row r="8" customFormat="false" ht="15" hidden="false" customHeight="false" outlineLevel="0" collapsed="false">
      <c r="A8" s="3" t="s">
        <v>16</v>
      </c>
      <c r="B8" s="4" t="s">
        <v>17</v>
      </c>
      <c r="C8" s="3" t="n">
        <v>235</v>
      </c>
      <c r="D8" s="3" t="n">
        <f aca="false">AVERAGE(C2:C8)</f>
        <v>275</v>
      </c>
    </row>
    <row r="9" customFormat="false" ht="15" hidden="false" customHeight="false" outlineLevel="0" collapsed="false">
      <c r="A9" s="3" t="s">
        <v>18</v>
      </c>
      <c r="B9" s="4" t="s">
        <v>5</v>
      </c>
      <c r="C9" s="3" t="n">
        <v>347</v>
      </c>
      <c r="D9" s="3" t="n">
        <f aca="false">AVERAGE(C3:C9)</f>
        <v>291.285714285714</v>
      </c>
    </row>
    <row r="10" customFormat="false" ht="15" hidden="false" customHeight="false" outlineLevel="0" collapsed="false">
      <c r="A10" s="3" t="s">
        <v>19</v>
      </c>
      <c r="B10" s="4" t="s">
        <v>7</v>
      </c>
      <c r="C10" s="3" t="n">
        <v>357</v>
      </c>
      <c r="D10" s="3" t="n">
        <f aca="false">AVERAGE(C4:C10)</f>
        <v>292.714285714286</v>
      </c>
    </row>
    <row r="11" customFormat="false" ht="15" hidden="false" customHeight="false" outlineLevel="0" collapsed="false">
      <c r="A11" s="3" t="s">
        <v>20</v>
      </c>
      <c r="B11" s="4" t="s">
        <v>9</v>
      </c>
      <c r="C11" s="3" t="n">
        <v>375</v>
      </c>
      <c r="D11" s="3" t="n">
        <f aca="false">AVERAGE(C5:C11)</f>
        <v>297.285714285714</v>
      </c>
    </row>
    <row r="12" customFormat="false" ht="15" hidden="false" customHeight="false" outlineLevel="0" collapsed="false">
      <c r="A12" s="3" t="s">
        <v>21</v>
      </c>
      <c r="B12" s="4" t="s">
        <v>11</v>
      </c>
      <c r="C12" s="3" t="n">
        <v>357</v>
      </c>
      <c r="D12" s="3" t="n">
        <f aca="false">AVERAGE(C6:C12)</f>
        <v>302.142857142857</v>
      </c>
    </row>
    <row r="13" customFormat="false" ht="15" hidden="false" customHeight="false" outlineLevel="0" collapsed="false">
      <c r="A13" s="3" t="s">
        <v>22</v>
      </c>
      <c r="B13" s="4" t="s">
        <v>13</v>
      </c>
      <c r="C13" s="3" t="n">
        <v>288</v>
      </c>
      <c r="D13" s="3" t="n">
        <f aca="false">AVERAGE(C7:C13)</f>
        <v>302.714285714286</v>
      </c>
    </row>
    <row r="14" customFormat="false" ht="15" hidden="false" customHeight="false" outlineLevel="0" collapsed="false">
      <c r="A14" s="3" t="s">
        <v>23</v>
      </c>
      <c r="B14" s="4" t="s">
        <v>15</v>
      </c>
      <c r="C14" s="3" t="n">
        <v>228</v>
      </c>
      <c r="D14" s="3" t="n">
        <f aca="false">AVERAGE(C8:C14)</f>
        <v>312.428571428571</v>
      </c>
    </row>
    <row r="15" customFormat="false" ht="15" hidden="false" customHeight="false" outlineLevel="0" collapsed="false">
      <c r="A15" s="3" t="s">
        <v>24</v>
      </c>
      <c r="B15" s="4" t="s">
        <v>17</v>
      </c>
      <c r="C15" s="3" t="n">
        <v>363</v>
      </c>
      <c r="D15" s="3" t="n">
        <f aca="false">AVERAGE(C9:C15)</f>
        <v>330.714285714286</v>
      </c>
    </row>
    <row r="16" customFormat="false" ht="15" hidden="false" customHeight="false" outlineLevel="0" collapsed="false">
      <c r="A16" s="3" t="s">
        <v>25</v>
      </c>
      <c r="B16" s="4" t="s">
        <v>5</v>
      </c>
      <c r="C16" s="3" t="n">
        <v>394</v>
      </c>
      <c r="D16" s="3" t="n">
        <f aca="false">AVERAGE(C10:C16)</f>
        <v>337.428571428571</v>
      </c>
    </row>
    <row r="17" customFormat="false" ht="15" hidden="false" customHeight="false" outlineLevel="0" collapsed="false">
      <c r="A17" s="3" t="s">
        <v>26</v>
      </c>
      <c r="B17" s="4" t="s">
        <v>7</v>
      </c>
      <c r="C17" s="3" t="n">
        <v>379</v>
      </c>
      <c r="D17" s="3" t="n">
        <f aca="false">AVERAGE(C11:C17)</f>
        <v>340.571428571429</v>
      </c>
    </row>
    <row r="18" customFormat="false" ht="15" hidden="false" customHeight="false" outlineLevel="0" collapsed="false">
      <c r="A18" s="3" t="s">
        <v>27</v>
      </c>
      <c r="B18" s="4" t="s">
        <v>9</v>
      </c>
      <c r="C18" s="3" t="n">
        <v>386</v>
      </c>
      <c r="D18" s="3" t="n">
        <f aca="false">AVERAGE(C12:C18)</f>
        <v>342.142857142857</v>
      </c>
    </row>
    <row r="19" customFormat="false" ht="15" hidden="false" customHeight="false" outlineLevel="0" collapsed="false">
      <c r="A19" s="3" t="s">
        <v>28</v>
      </c>
      <c r="B19" s="4" t="s">
        <v>11</v>
      </c>
      <c r="C19" s="3" t="n">
        <v>370</v>
      </c>
      <c r="D19" s="3" t="n">
        <f aca="false">AVERAGE(C13:C19)</f>
        <v>344</v>
      </c>
    </row>
    <row r="20" customFormat="false" ht="15" hidden="false" customHeight="false" outlineLevel="0" collapsed="false">
      <c r="A20" s="3" t="s">
        <v>29</v>
      </c>
      <c r="B20" s="4" t="s">
        <v>13</v>
      </c>
      <c r="C20" s="3" t="n">
        <v>376</v>
      </c>
      <c r="D20" s="3" t="n">
        <f aca="false">AVERAGE(C14:C20)</f>
        <v>356.571428571429</v>
      </c>
    </row>
    <row r="21" customFormat="false" ht="15" hidden="false" customHeight="false" outlineLevel="0" collapsed="false">
      <c r="A21" s="3" t="s">
        <v>30</v>
      </c>
      <c r="B21" s="4" t="s">
        <v>15</v>
      </c>
      <c r="C21" s="3" t="n">
        <v>326</v>
      </c>
      <c r="D21" s="3" t="n">
        <f aca="false">AVERAGE(C15:C21)</f>
        <v>370.571428571429</v>
      </c>
    </row>
    <row r="22" customFormat="false" ht="15" hidden="false" customHeight="false" outlineLevel="0" collapsed="false">
      <c r="A22" s="3" t="s">
        <v>31</v>
      </c>
      <c r="B22" s="4" t="s">
        <v>17</v>
      </c>
      <c r="C22" s="3" t="n">
        <v>408</v>
      </c>
      <c r="D22" s="3" t="n">
        <f aca="false">AVERAGE(C16:C22)</f>
        <v>377</v>
      </c>
    </row>
    <row r="23" customFormat="false" ht="15" hidden="false" customHeight="false" outlineLevel="0" collapsed="false">
      <c r="A23" s="3" t="s">
        <v>32</v>
      </c>
      <c r="B23" s="4" t="s">
        <v>5</v>
      </c>
      <c r="C23" s="3" t="n">
        <v>428</v>
      </c>
      <c r="D23" s="3" t="n">
        <f aca="false">AVERAGE(C17:C23)</f>
        <v>381.857142857143</v>
      </c>
    </row>
    <row r="24" customFormat="false" ht="15" hidden="false" customHeight="false" outlineLevel="0" collapsed="false">
      <c r="A24" s="3" t="s">
        <v>33</v>
      </c>
      <c r="B24" s="4" t="s">
        <v>7</v>
      </c>
      <c r="C24" s="3" t="n">
        <v>453</v>
      </c>
      <c r="D24" s="3" t="n">
        <f aca="false">AVERAGE(C18:C24)</f>
        <v>392.428571428571</v>
      </c>
    </row>
    <row r="25" customFormat="false" ht="15" hidden="false" customHeight="false" outlineLevel="0" collapsed="false">
      <c r="A25" s="3" t="s">
        <v>34</v>
      </c>
      <c r="B25" s="4" t="s">
        <v>9</v>
      </c>
      <c r="C25" s="3" t="n">
        <v>470</v>
      </c>
      <c r="D25" s="3" t="n">
        <f aca="false">AVERAGE(C19:C25)</f>
        <v>404.428571428571</v>
      </c>
    </row>
    <row r="26" customFormat="false" ht="15" hidden="false" customHeight="false" outlineLevel="0" collapsed="false">
      <c r="A26" s="3" t="s">
        <v>35</v>
      </c>
      <c r="B26" s="4" t="s">
        <v>11</v>
      </c>
      <c r="C26" s="3" t="n">
        <v>462</v>
      </c>
      <c r="D26" s="3" t="n">
        <f aca="false">AVERAGE(C20:C26)</f>
        <v>417.571428571429</v>
      </c>
    </row>
    <row r="27" customFormat="false" ht="15" hidden="false" customHeight="false" outlineLevel="0" collapsed="false">
      <c r="A27" s="3" t="s">
        <v>36</v>
      </c>
      <c r="B27" s="4" t="s">
        <v>13</v>
      </c>
      <c r="C27" s="3" t="n">
        <v>417</v>
      </c>
      <c r="D27" s="3" t="n">
        <f aca="false">AVERAGE(C21:C27)</f>
        <v>423.428571428571</v>
      </c>
    </row>
    <row r="28" customFormat="false" ht="15" hidden="false" customHeight="false" outlineLevel="0" collapsed="false">
      <c r="A28" s="3" t="s">
        <v>37</v>
      </c>
      <c r="B28" s="4" t="s">
        <v>15</v>
      </c>
      <c r="C28" s="3" t="n">
        <v>376</v>
      </c>
      <c r="D28" s="3" t="n">
        <f aca="false">AVERAGE(C22:C28)</f>
        <v>430.571428571429</v>
      </c>
    </row>
    <row r="29" customFormat="false" ht="15" hidden="false" customHeight="false" outlineLevel="0" collapsed="false">
      <c r="A29" s="3" t="s">
        <v>38</v>
      </c>
      <c r="B29" s="4" t="s">
        <v>17</v>
      </c>
      <c r="C29" s="3" t="n">
        <v>417</v>
      </c>
      <c r="D29" s="3" t="n">
        <f aca="false">AVERAGE(C23:C29)</f>
        <v>431.857142857143</v>
      </c>
    </row>
    <row r="30" customFormat="false" ht="15" hidden="false" customHeight="false" outlineLevel="0" collapsed="false">
      <c r="A30" s="3" t="s">
        <v>39</v>
      </c>
      <c r="B30" s="4" t="s">
        <v>5</v>
      </c>
      <c r="C30" s="3" t="n">
        <v>421</v>
      </c>
      <c r="D30" s="3" t="n">
        <f aca="false">AVERAGE(C24:C30)</f>
        <v>430.857142857143</v>
      </c>
    </row>
    <row r="31" customFormat="false" ht="15" hidden="false" customHeight="false" outlineLevel="0" collapsed="false">
      <c r="A31" s="3" t="s">
        <v>40</v>
      </c>
      <c r="B31" s="4" t="s">
        <v>7</v>
      </c>
      <c r="C31" s="3" t="n">
        <v>440</v>
      </c>
      <c r="D31" s="3" t="n">
        <f aca="false">AVERAGE(C25:C31)</f>
        <v>429</v>
      </c>
    </row>
    <row r="32" customFormat="false" ht="15" hidden="false" customHeight="false" outlineLevel="0" collapsed="false">
      <c r="A32" s="3" t="s">
        <v>41</v>
      </c>
      <c r="B32" s="4" t="s">
        <v>9</v>
      </c>
      <c r="C32" s="3" t="n">
        <v>440</v>
      </c>
      <c r="D32" s="3" t="n">
        <f aca="false">AVERAGE(C26:C32)</f>
        <v>424.714285714286</v>
      </c>
    </row>
    <row r="33" customFormat="false" ht="15" hidden="false" customHeight="false" outlineLevel="0" collapsed="false">
      <c r="A33" s="3" t="s">
        <v>42</v>
      </c>
      <c r="B33" s="4" t="s">
        <v>11</v>
      </c>
      <c r="C33" s="3" t="n">
        <v>439</v>
      </c>
      <c r="D33" s="3" t="n">
        <f aca="false">AVERAGE(C27:C33)</f>
        <v>421.428571428571</v>
      </c>
    </row>
    <row r="34" customFormat="false" ht="15" hidden="false" customHeight="false" outlineLevel="0" collapsed="false">
      <c r="A34" s="3" t="s">
        <v>43</v>
      </c>
      <c r="B34" s="4" t="s">
        <v>13</v>
      </c>
      <c r="C34" s="3" t="n">
        <v>431</v>
      </c>
      <c r="D34" s="3" t="n">
        <f aca="false">AVERAGE(C28:C34)</f>
        <v>423.428571428571</v>
      </c>
    </row>
    <row r="35" customFormat="false" ht="15" hidden="false" customHeight="false" outlineLevel="0" collapsed="false">
      <c r="A35" s="3" t="s">
        <v>44</v>
      </c>
      <c r="B35" s="4" t="s">
        <v>15</v>
      </c>
      <c r="C35" s="3" t="n">
        <v>451</v>
      </c>
      <c r="D35" s="3" t="n">
        <f aca="false">AVERAGE(C29:C35)</f>
        <v>434.142857142857</v>
      </c>
    </row>
    <row r="36" customFormat="false" ht="15" hidden="false" customHeight="false" outlineLevel="0" collapsed="false">
      <c r="A36" s="3" t="s">
        <v>45</v>
      </c>
      <c r="B36" s="4" t="s">
        <v>17</v>
      </c>
      <c r="C36" s="3" t="n">
        <v>508</v>
      </c>
      <c r="D36" s="3" t="n">
        <f aca="false">AVERAGE(C30:C36)</f>
        <v>447.142857142857</v>
      </c>
    </row>
    <row r="37" customFormat="false" ht="15" hidden="false" customHeight="false" outlineLevel="0" collapsed="false">
      <c r="A37" s="3" t="s">
        <v>46</v>
      </c>
      <c r="B37" s="4" t="s">
        <v>5</v>
      </c>
      <c r="C37" s="3" t="n">
        <v>537</v>
      </c>
      <c r="D37" s="3" t="n">
        <f aca="false">AVERAGE(C31:C37)</f>
        <v>463.714285714286</v>
      </c>
    </row>
    <row r="38" customFormat="false" ht="15" hidden="false" customHeight="false" outlineLevel="0" collapsed="false">
      <c r="A38" s="3" t="s">
        <v>47</v>
      </c>
      <c r="B38" s="4" t="s">
        <v>7</v>
      </c>
      <c r="C38" s="3" t="n">
        <v>543</v>
      </c>
      <c r="D38" s="3" t="n">
        <f aca="false">AVERAGE(C32:C38)</f>
        <v>478.428571428571</v>
      </c>
    </row>
    <row r="39" customFormat="false" ht="15" hidden="false" customHeight="false" outlineLevel="0" collapsed="false">
      <c r="A39" s="3" t="s">
        <v>48</v>
      </c>
      <c r="B39" s="4" t="s">
        <v>9</v>
      </c>
      <c r="C39" s="3" t="n">
        <v>522</v>
      </c>
      <c r="D39" s="3" t="n">
        <f aca="false">AVERAGE(C33:C39)</f>
        <v>490.142857142857</v>
      </c>
    </row>
    <row r="40" customFormat="false" ht="15" hidden="false" customHeight="false" outlineLevel="0" collapsed="false">
      <c r="A40" s="3" t="s">
        <v>49</v>
      </c>
      <c r="B40" s="4" t="s">
        <v>11</v>
      </c>
      <c r="C40" s="3" t="n">
        <v>509</v>
      </c>
      <c r="D40" s="3" t="n">
        <f aca="false">AVERAGE(C34:C40)</f>
        <v>500.142857142857</v>
      </c>
    </row>
    <row r="41" customFormat="false" ht="15" hidden="false" customHeight="false" outlineLevel="0" collapsed="false">
      <c r="A41" s="3" t="s">
        <v>50</v>
      </c>
      <c r="B41" s="4" t="s">
        <v>13</v>
      </c>
      <c r="C41" s="3" t="n">
        <v>484</v>
      </c>
      <c r="D41" s="3" t="n">
        <f aca="false">AVERAGE(C35:C41)</f>
        <v>507.714285714286</v>
      </c>
    </row>
    <row r="42" customFormat="false" ht="15" hidden="false" customHeight="false" outlineLevel="0" collapsed="false">
      <c r="A42" s="3" t="s">
        <v>51</v>
      </c>
      <c r="B42" s="4" t="s">
        <v>15</v>
      </c>
      <c r="C42" s="3" t="n">
        <v>470</v>
      </c>
      <c r="D42" s="3" t="n">
        <f aca="false">AVERAGE(C36:C42)</f>
        <v>510.428571428571</v>
      </c>
    </row>
    <row r="43" customFormat="false" ht="15" hidden="false" customHeight="false" outlineLevel="0" collapsed="false">
      <c r="A43" s="3" t="s">
        <v>52</v>
      </c>
      <c r="B43" s="4" t="s">
        <v>17</v>
      </c>
      <c r="C43" s="3" t="n">
        <v>510</v>
      </c>
      <c r="D43" s="3" t="n">
        <f aca="false">AVERAGE(C37:C43)</f>
        <v>510.714285714286</v>
      </c>
    </row>
    <row r="44" customFormat="false" ht="15" hidden="false" customHeight="false" outlineLevel="0" collapsed="false">
      <c r="A44" s="3" t="s">
        <v>53</v>
      </c>
      <c r="B44" s="4" t="s">
        <v>5</v>
      </c>
      <c r="C44" s="3" t="n">
        <v>521</v>
      </c>
      <c r="D44" s="3" t="n">
        <f aca="false">AVERAGE(C38:C44)</f>
        <v>508.428571428571</v>
      </c>
    </row>
    <row r="45" customFormat="false" ht="15" hidden="false" customHeight="false" outlineLevel="0" collapsed="false">
      <c r="A45" s="3" t="s">
        <v>54</v>
      </c>
      <c r="B45" s="4" t="s">
        <v>7</v>
      </c>
      <c r="C45" s="3" t="n">
        <v>527</v>
      </c>
      <c r="D45" s="3" t="n">
        <f aca="false">AVERAGE(C39:C45)</f>
        <v>506.142857142857</v>
      </c>
    </row>
    <row r="46" customFormat="false" ht="15" hidden="false" customHeight="false" outlineLevel="0" collapsed="false">
      <c r="A46" s="3" t="s">
        <v>55</v>
      </c>
      <c r="B46" s="4" t="s">
        <v>9</v>
      </c>
      <c r="C46" s="3" t="n">
        <v>530</v>
      </c>
      <c r="D46" s="3" t="n">
        <f aca="false">AVERAGE(C40:C46)</f>
        <v>507.285714285714</v>
      </c>
    </row>
    <row r="47" customFormat="false" ht="15" hidden="false" customHeight="false" outlineLevel="0" collapsed="false">
      <c r="A47" s="3" t="s">
        <v>56</v>
      </c>
      <c r="B47" s="4" t="s">
        <v>11</v>
      </c>
      <c r="C47" s="3" t="n">
        <v>546</v>
      </c>
      <c r="D47" s="3" t="n">
        <f aca="false">AVERAGE(C41:C47)</f>
        <v>512.571428571429</v>
      </c>
    </row>
    <row r="48" customFormat="false" ht="15" hidden="false" customHeight="false" outlineLevel="0" collapsed="false">
      <c r="A48" s="3" t="s">
        <v>57</v>
      </c>
      <c r="B48" s="4" t="s">
        <v>13</v>
      </c>
      <c r="C48" s="3" t="n">
        <v>522</v>
      </c>
      <c r="D48" s="3" t="n">
        <f aca="false">AVERAGE(C42:C48)</f>
        <v>518</v>
      </c>
    </row>
    <row r="49" customFormat="false" ht="15" hidden="false" customHeight="false" outlineLevel="0" collapsed="false">
      <c r="A49" s="3" t="s">
        <v>58</v>
      </c>
      <c r="B49" s="4" t="s">
        <v>15</v>
      </c>
      <c r="C49" s="3" t="n">
        <v>510</v>
      </c>
      <c r="D49" s="3" t="n">
        <f aca="false">AVERAGE(C43:C49)</f>
        <v>523.714285714286</v>
      </c>
    </row>
    <row r="50" customFormat="false" ht="15" hidden="false" customHeight="false" outlineLevel="0" collapsed="false">
      <c r="A50" s="3" t="s">
        <v>59</v>
      </c>
      <c r="B50" s="4" t="s">
        <v>17</v>
      </c>
      <c r="C50" s="3" t="n">
        <v>565</v>
      </c>
      <c r="D50" s="3" t="n">
        <f aca="false">AVERAGE(C44:C50)</f>
        <v>531.571428571429</v>
      </c>
    </row>
    <row r="51" customFormat="false" ht="15" hidden="false" customHeight="false" outlineLevel="0" collapsed="false">
      <c r="A51" s="3" t="s">
        <v>60</v>
      </c>
      <c r="B51" s="4" t="s">
        <v>5</v>
      </c>
      <c r="C51" s="3" t="n">
        <v>599</v>
      </c>
      <c r="D51" s="3" t="n">
        <f aca="false">AVERAGE(C45:C51)</f>
        <v>542.714285714286</v>
      </c>
    </row>
    <row r="52" customFormat="false" ht="15" hidden="false" customHeight="false" outlineLevel="0" collapsed="false">
      <c r="A52" s="3" t="s">
        <v>61</v>
      </c>
      <c r="B52" s="4" t="s">
        <v>7</v>
      </c>
      <c r="C52" s="3" t="n">
        <v>556</v>
      </c>
      <c r="D52" s="3" t="n">
        <f aca="false">AVERAGE(C46:C52)</f>
        <v>546.857142857143</v>
      </c>
    </row>
    <row r="53" customFormat="false" ht="15" hidden="false" customHeight="false" outlineLevel="0" collapsed="false">
      <c r="A53" s="3" t="s">
        <v>62</v>
      </c>
      <c r="B53" s="4" t="s">
        <v>9</v>
      </c>
      <c r="C53" s="3" t="n">
        <v>545</v>
      </c>
      <c r="D53" s="3" t="n">
        <f aca="false">AVERAGE(C47:C53)</f>
        <v>549</v>
      </c>
    </row>
    <row r="54" customFormat="false" ht="15" hidden="false" customHeight="false" outlineLevel="0" collapsed="false">
      <c r="A54" s="3" t="s">
        <v>63</v>
      </c>
      <c r="B54" s="4" t="s">
        <v>11</v>
      </c>
      <c r="C54" s="3" t="n">
        <v>532</v>
      </c>
      <c r="D54" s="3" t="n">
        <f aca="false">AVERAGE(C48:C54)</f>
        <v>547</v>
      </c>
    </row>
    <row r="55" customFormat="false" ht="15" hidden="false" customHeight="false" outlineLevel="0" collapsed="false">
      <c r="A55" s="3" t="s">
        <v>64</v>
      </c>
      <c r="B55" s="4" t="s">
        <v>13</v>
      </c>
      <c r="C55" s="3" t="n">
        <v>507</v>
      </c>
      <c r="D55" s="3" t="n">
        <f aca="false">AVERAGE(C49:C55)</f>
        <v>544.857142857143</v>
      </c>
    </row>
    <row r="56" customFormat="false" ht="15" hidden="false" customHeight="false" outlineLevel="0" collapsed="false">
      <c r="A56" s="3" t="s">
        <v>65</v>
      </c>
      <c r="B56" s="4" t="s">
        <v>15</v>
      </c>
      <c r="C56" s="3" t="n">
        <v>498</v>
      </c>
      <c r="D56" s="3" t="n">
        <f aca="false">AVERAGE(C50:C56)</f>
        <v>543.142857142857</v>
      </c>
    </row>
    <row r="57" customFormat="false" ht="15" hidden="false" customHeight="false" outlineLevel="0" collapsed="false">
      <c r="A57" s="3" t="s">
        <v>66</v>
      </c>
      <c r="B57" s="4" t="s">
        <v>17</v>
      </c>
      <c r="C57" s="3" t="n">
        <v>540</v>
      </c>
      <c r="D57" s="3" t="n">
        <f aca="false">AVERAGE(C51:C57)</f>
        <v>539.571428571429</v>
      </c>
    </row>
    <row r="58" customFormat="false" ht="15" hidden="false" customHeight="false" outlineLevel="0" collapsed="false">
      <c r="A58" s="3" t="s">
        <v>67</v>
      </c>
      <c r="B58" s="4" t="s">
        <v>5</v>
      </c>
      <c r="C58" s="3" t="n">
        <v>540</v>
      </c>
      <c r="D58" s="3" t="n">
        <f aca="false">AVERAGE(C52:C58)</f>
        <v>531.142857142857</v>
      </c>
    </row>
    <row r="59" customFormat="false" ht="15" hidden="false" customHeight="false" outlineLevel="0" collapsed="false">
      <c r="A59" s="3" t="s">
        <v>68</v>
      </c>
      <c r="B59" s="4" t="s">
        <v>7</v>
      </c>
      <c r="C59" s="3" t="n">
        <v>546</v>
      </c>
      <c r="D59" s="3" t="n">
        <f aca="false">AVERAGE(C53:C59)</f>
        <v>529.714285714286</v>
      </c>
    </row>
    <row r="60" customFormat="false" ht="15" hidden="false" customHeight="false" outlineLevel="0" collapsed="false">
      <c r="A60" s="3" t="s">
        <v>69</v>
      </c>
      <c r="B60" s="4" t="s">
        <v>9</v>
      </c>
      <c r="C60" s="3" t="n">
        <v>551</v>
      </c>
      <c r="D60" s="3" t="n">
        <f aca="false">AVERAGE(C54:C60)</f>
        <v>530.571428571429</v>
      </c>
    </row>
    <row r="61" customFormat="false" ht="15" hidden="false" customHeight="false" outlineLevel="0" collapsed="false">
      <c r="A61" s="3" t="s">
        <v>70</v>
      </c>
      <c r="B61" s="4" t="s">
        <v>11</v>
      </c>
      <c r="C61" s="3" t="n">
        <v>547</v>
      </c>
      <c r="D61" s="3" t="n">
        <f aca="false">AVERAGE(C55:C61)</f>
        <v>532.714285714286</v>
      </c>
    </row>
    <row r="62" customFormat="false" ht="15" hidden="false" customHeight="false" outlineLevel="0" collapsed="false">
      <c r="A62" s="3" t="s">
        <v>71</v>
      </c>
      <c r="B62" s="4" t="s">
        <v>13</v>
      </c>
      <c r="C62" s="3" t="n">
        <v>542</v>
      </c>
      <c r="D62" s="3" t="n">
        <f aca="false">AVERAGE(C56:C62)</f>
        <v>537.714285714286</v>
      </c>
    </row>
    <row r="63" customFormat="false" ht="15" hidden="false" customHeight="false" outlineLevel="0" collapsed="false">
      <c r="A63" s="3" t="s">
        <v>72</v>
      </c>
      <c r="B63" s="4" t="s">
        <v>15</v>
      </c>
      <c r="C63" s="3" t="n">
        <v>529</v>
      </c>
      <c r="D63" s="3" t="n">
        <f aca="false">AVERAGE(C57:C63)</f>
        <v>542.142857142857</v>
      </c>
    </row>
    <row r="64" customFormat="false" ht="15" hidden="false" customHeight="false" outlineLevel="0" collapsed="false">
      <c r="A64" s="3" t="s">
        <v>73</v>
      </c>
      <c r="B64" s="4" t="s">
        <v>17</v>
      </c>
      <c r="C64" s="3" t="n">
        <v>574</v>
      </c>
      <c r="D64" s="3" t="n">
        <f aca="false">AVERAGE(C58:C64)</f>
        <v>547</v>
      </c>
    </row>
    <row r="65" customFormat="false" ht="15" hidden="false" customHeight="false" outlineLevel="0" collapsed="false">
      <c r="A65" s="3" t="s">
        <v>74</v>
      </c>
      <c r="B65" s="4" t="s">
        <v>5</v>
      </c>
      <c r="C65" s="3" t="n">
        <v>572</v>
      </c>
      <c r="D65" s="3" t="n">
        <f aca="false">AVERAGE(C59:C65)</f>
        <v>551.571428571429</v>
      </c>
    </row>
    <row r="66" customFormat="false" ht="15" hidden="false" customHeight="false" outlineLevel="0" collapsed="false">
      <c r="A66" s="3" t="s">
        <v>75</v>
      </c>
      <c r="B66" s="4" t="s">
        <v>7</v>
      </c>
      <c r="C66" s="3" t="n">
        <v>575</v>
      </c>
      <c r="D66" s="3" t="n">
        <f aca="false">AVERAGE(C60:C66)</f>
        <v>555.714285714286</v>
      </c>
    </row>
    <row r="67" customFormat="false" ht="15" hidden="false" customHeight="false" outlineLevel="0" collapsed="false">
      <c r="A67" s="3" t="s">
        <v>76</v>
      </c>
      <c r="B67" s="4" t="s">
        <v>9</v>
      </c>
      <c r="C67" s="3" t="n">
        <v>554</v>
      </c>
      <c r="D67" s="3" t="n">
        <f aca="false">AVERAGE(C61:C67)</f>
        <v>556.142857142857</v>
      </c>
    </row>
    <row r="68" customFormat="false" ht="15" hidden="false" customHeight="false" outlineLevel="0" collapsed="false">
      <c r="A68" s="3" t="s">
        <v>77</v>
      </c>
      <c r="B68" s="4" t="s">
        <v>11</v>
      </c>
      <c r="C68" s="3" t="n">
        <v>527</v>
      </c>
      <c r="D68" s="3" t="n">
        <f aca="false">AVERAGE(C62:C68)</f>
        <v>553.285714285714</v>
      </c>
    </row>
    <row r="69" customFormat="false" ht="15" hidden="false" customHeight="false" outlineLevel="0" collapsed="false">
      <c r="A69" s="3" t="s">
        <v>78</v>
      </c>
      <c r="B69" s="4" t="s">
        <v>13</v>
      </c>
      <c r="C69" s="3" t="n">
        <v>480</v>
      </c>
      <c r="D69" s="3" t="n">
        <f aca="false">AVERAGE(C63:C69)</f>
        <v>544.428571428571</v>
      </c>
    </row>
    <row r="70" customFormat="false" ht="15" hidden="false" customHeight="false" outlineLevel="0" collapsed="false">
      <c r="A70" s="3" t="s">
        <v>79</v>
      </c>
      <c r="B70" s="4" t="s">
        <v>15</v>
      </c>
      <c r="C70" s="3" t="n">
        <v>409</v>
      </c>
      <c r="D70" s="3" t="n">
        <f aca="false">AVERAGE(C64:C70)</f>
        <v>527.285714285714</v>
      </c>
    </row>
    <row r="71" customFormat="false" ht="15" hidden="false" customHeight="false" outlineLevel="0" collapsed="false">
      <c r="A71" s="3" t="s">
        <v>80</v>
      </c>
      <c r="B71" s="4" t="s">
        <v>17</v>
      </c>
      <c r="C71" s="3" t="n">
        <v>381</v>
      </c>
      <c r="D71" s="3" t="n">
        <f aca="false">AVERAGE(C65:C71)</f>
        <v>499.714285714286</v>
      </c>
    </row>
    <row r="72" customFormat="false" ht="15" hidden="false" customHeight="false" outlineLevel="0" collapsed="false">
      <c r="A72" s="3" t="s">
        <v>81</v>
      </c>
      <c r="B72" s="4" t="s">
        <v>5</v>
      </c>
      <c r="C72" s="3" t="n">
        <v>425</v>
      </c>
      <c r="D72" s="3" t="n">
        <f aca="false">AVERAGE(C66:C72)</f>
        <v>478.714285714286</v>
      </c>
    </row>
    <row r="73" customFormat="false" ht="15" hidden="false" customHeight="false" outlineLevel="0" collapsed="false">
      <c r="A73" s="3" t="s">
        <v>82</v>
      </c>
      <c r="B73" s="4" t="s">
        <v>7</v>
      </c>
      <c r="C73" s="3" t="n">
        <v>461</v>
      </c>
      <c r="D73" s="3" t="n">
        <f aca="false">AVERAGE(C67:C73)</f>
        <v>462.428571428571</v>
      </c>
    </row>
    <row r="74" customFormat="false" ht="15" hidden="false" customHeight="false" outlineLevel="0" collapsed="false">
      <c r="A74" s="3" t="s">
        <v>83</v>
      </c>
      <c r="B74" s="4" t="s">
        <v>9</v>
      </c>
      <c r="C74" s="3" t="n">
        <v>495</v>
      </c>
      <c r="D74" s="3" t="n">
        <f aca="false">AVERAGE(C68:C74)</f>
        <v>454</v>
      </c>
    </row>
    <row r="75" customFormat="false" ht="15" hidden="false" customHeight="false" outlineLevel="0" collapsed="false">
      <c r="A75" s="3" t="s">
        <v>84</v>
      </c>
      <c r="B75" s="4" t="s">
        <v>11</v>
      </c>
      <c r="C75" s="3" t="n">
        <v>505</v>
      </c>
      <c r="D75" s="3" t="n">
        <f aca="false">AVERAGE(C69:C75)</f>
        <v>450.857142857143</v>
      </c>
    </row>
    <row r="76" customFormat="false" ht="15" hidden="false" customHeight="false" outlineLevel="0" collapsed="false">
      <c r="A76" s="3" t="s">
        <v>85</v>
      </c>
      <c r="B76" s="4" t="s">
        <v>13</v>
      </c>
      <c r="C76" s="3" t="n">
        <v>495</v>
      </c>
      <c r="D76" s="3" t="n">
        <f aca="false">AVERAGE(C70:C76)</f>
        <v>453</v>
      </c>
    </row>
    <row r="77" customFormat="false" ht="15" hidden="false" customHeight="false" outlineLevel="0" collapsed="false">
      <c r="A77" s="3" t="s">
        <v>86</v>
      </c>
      <c r="B77" s="4" t="s">
        <v>15</v>
      </c>
      <c r="C77" s="3" t="n">
        <v>478</v>
      </c>
      <c r="D77" s="3" t="n">
        <f aca="false">AVERAGE(C71:C77)</f>
        <v>462.857142857143</v>
      </c>
    </row>
    <row r="78" customFormat="false" ht="15" hidden="false" customHeight="false" outlineLevel="0" collapsed="false">
      <c r="A78" s="3" t="s">
        <v>87</v>
      </c>
      <c r="B78" s="4" t="s">
        <v>17</v>
      </c>
      <c r="C78" s="3" t="n">
        <v>523</v>
      </c>
      <c r="D78" s="3" t="n">
        <f aca="false">AVERAGE(C72:C78)</f>
        <v>483.142857142857</v>
      </c>
    </row>
    <row r="79" customFormat="false" ht="15" hidden="false" customHeight="false" outlineLevel="0" collapsed="false">
      <c r="A79" s="3" t="s">
        <v>88</v>
      </c>
      <c r="B79" s="4" t="s">
        <v>5</v>
      </c>
      <c r="C79" s="3" t="n">
        <v>519</v>
      </c>
      <c r="D79" s="3" t="n">
        <f aca="false">AVERAGE(C73:C79)</f>
        <v>496.571428571429</v>
      </c>
    </row>
    <row r="80" customFormat="false" ht="15" hidden="false" customHeight="false" outlineLevel="0" collapsed="false">
      <c r="A80" s="3" t="s">
        <v>89</v>
      </c>
      <c r="B80" s="4" t="s">
        <v>7</v>
      </c>
      <c r="C80" s="3" t="n">
        <v>524</v>
      </c>
      <c r="D80" s="3" t="n">
        <f aca="false">AVERAGE(C74:C80)</f>
        <v>505.571428571429</v>
      </c>
    </row>
    <row r="81" customFormat="false" ht="15" hidden="false" customHeight="false" outlineLevel="0" collapsed="false">
      <c r="A81" s="3" t="s">
        <v>90</v>
      </c>
      <c r="B81" s="4" t="s">
        <v>9</v>
      </c>
      <c r="C81" s="3" t="n">
        <v>502</v>
      </c>
      <c r="D81" s="3" t="n">
        <f aca="false">AVERAGE(C75:C81)</f>
        <v>506.571428571429</v>
      </c>
    </row>
    <row r="82" customFormat="false" ht="15" hidden="false" customHeight="false" outlineLevel="0" collapsed="false">
      <c r="A82" s="3" t="s">
        <v>91</v>
      </c>
      <c r="B82" s="4" t="s">
        <v>11</v>
      </c>
      <c r="C82" s="3" t="n">
        <v>465</v>
      </c>
      <c r="D82" s="3" t="n">
        <f aca="false">AVERAGE(C76:C82)</f>
        <v>500.857142857143</v>
      </c>
    </row>
    <row r="83" customFormat="false" ht="15" hidden="false" customHeight="false" outlineLevel="0" collapsed="false">
      <c r="A83" s="3" t="s">
        <v>92</v>
      </c>
      <c r="B83" s="4" t="s">
        <v>13</v>
      </c>
      <c r="C83" s="3" t="n">
        <v>424</v>
      </c>
      <c r="D83" s="3" t="n">
        <f aca="false">AVERAGE(C77:C83)</f>
        <v>490.714285714286</v>
      </c>
    </row>
    <row r="84" customFormat="false" ht="15" hidden="false" customHeight="false" outlineLevel="0" collapsed="false">
      <c r="A84" s="3" t="s">
        <v>93</v>
      </c>
      <c r="B84" s="4" t="s">
        <v>15</v>
      </c>
      <c r="C84" s="3" t="n">
        <v>408</v>
      </c>
      <c r="D84" s="3" t="n">
        <f aca="false">AVERAGE(C78:C84)</f>
        <v>480.714285714286</v>
      </c>
    </row>
    <row r="85" customFormat="false" ht="15" hidden="false" customHeight="false" outlineLevel="0" collapsed="false">
      <c r="A85" s="3" t="s">
        <v>94</v>
      </c>
      <c r="B85" s="4" t="s">
        <v>17</v>
      </c>
      <c r="C85" s="3" t="n">
        <v>417</v>
      </c>
      <c r="D85" s="3" t="n">
        <f aca="false">AVERAGE(C79:C85)</f>
        <v>465.571428571429</v>
      </c>
    </row>
    <row r="86" customFormat="false" ht="15" hidden="false" customHeight="false" outlineLevel="0" collapsed="false">
      <c r="A86" s="3" t="s">
        <v>95</v>
      </c>
      <c r="B86" s="4" t="s">
        <v>5</v>
      </c>
      <c r="C86" s="3" t="n">
        <v>419</v>
      </c>
      <c r="D86" s="3" t="n">
        <f aca="false">AVERAGE(C80:C86)</f>
        <v>451.285714285714</v>
      </c>
    </row>
    <row r="87" customFormat="false" ht="15" hidden="false" customHeight="false" outlineLevel="0" collapsed="false">
      <c r="A87" s="3" t="s">
        <v>96</v>
      </c>
      <c r="B87" s="4" t="s">
        <v>7</v>
      </c>
      <c r="C87" s="3" t="n">
        <v>425</v>
      </c>
      <c r="D87" s="3" t="n">
        <f aca="false">AVERAGE(C81:C87)</f>
        <v>437.142857142857</v>
      </c>
    </row>
    <row r="88" customFormat="false" ht="15" hidden="false" customHeight="false" outlineLevel="0" collapsed="false">
      <c r="A88" s="3" t="s">
        <v>97</v>
      </c>
      <c r="B88" s="4" t="s">
        <v>9</v>
      </c>
      <c r="C88" s="3" t="n">
        <v>440</v>
      </c>
      <c r="D88" s="3" t="n">
        <f aca="false">AVERAGE(C82:C88)</f>
        <v>428.285714285714</v>
      </c>
    </row>
    <row r="89" customFormat="false" ht="15" hidden="false" customHeight="false" outlineLevel="0" collapsed="false">
      <c r="A89" s="3" t="s">
        <v>98</v>
      </c>
      <c r="B89" s="4" t="s">
        <v>11</v>
      </c>
      <c r="C89" s="3" t="n">
        <v>403</v>
      </c>
      <c r="D89" s="3" t="n">
        <f aca="false">AVERAGE(C83:C89)</f>
        <v>419.428571428571</v>
      </c>
    </row>
    <row r="90" customFormat="false" ht="15" hidden="false" customHeight="false" outlineLevel="0" collapsed="false">
      <c r="A90" s="3" t="s">
        <v>99</v>
      </c>
      <c r="B90" s="4" t="s">
        <v>13</v>
      </c>
      <c r="C90" s="3" t="n">
        <v>400</v>
      </c>
      <c r="D90" s="3" t="n">
        <f aca="false">AVERAGE(C84:C90)</f>
        <v>416</v>
      </c>
    </row>
    <row r="91" customFormat="false" ht="15" hidden="false" customHeight="false" outlineLevel="0" collapsed="false">
      <c r="A91" s="3" t="s">
        <v>100</v>
      </c>
      <c r="B91" s="4" t="s">
        <v>15</v>
      </c>
      <c r="C91" s="3" t="n">
        <v>368</v>
      </c>
      <c r="D91" s="3" t="n">
        <f aca="false">AVERAGE(C85:C91)</f>
        <v>410.285714285714</v>
      </c>
    </row>
    <row r="92" customFormat="false" ht="15" hidden="false" customHeight="false" outlineLevel="0" collapsed="false">
      <c r="A92" s="3" t="s">
        <v>101</v>
      </c>
      <c r="B92" s="4" t="s">
        <v>17</v>
      </c>
      <c r="C92" s="3" t="n">
        <v>387</v>
      </c>
      <c r="D92" s="3" t="n">
        <f aca="false">AVERAGE(C86:C92)</f>
        <v>406</v>
      </c>
    </row>
    <row r="93" customFormat="false" ht="15" hidden="false" customHeight="false" outlineLevel="0" collapsed="false">
      <c r="A93" s="3" t="s">
        <v>102</v>
      </c>
      <c r="B93" s="4" t="s">
        <v>5</v>
      </c>
      <c r="C93" s="3" t="n">
        <v>420</v>
      </c>
      <c r="D93" s="3" t="n">
        <f aca="false">AVERAGE(C87:C93)</f>
        <v>406.142857142857</v>
      </c>
    </row>
    <row r="94" customFormat="false" ht="15" hidden="false" customHeight="false" outlineLevel="0" collapsed="false">
      <c r="A94" s="3" t="s">
        <v>103</v>
      </c>
      <c r="B94" s="4" t="s">
        <v>7</v>
      </c>
      <c r="C94" s="3" t="n">
        <v>424</v>
      </c>
      <c r="D94" s="3" t="n">
        <f aca="false">AVERAGE(C88:C94)</f>
        <v>406</v>
      </c>
    </row>
    <row r="95" customFormat="false" ht="15" hidden="false" customHeight="false" outlineLevel="0" collapsed="false">
      <c r="A95" s="3" t="s">
        <v>104</v>
      </c>
      <c r="B95" s="4" t="s">
        <v>9</v>
      </c>
      <c r="C95" s="3" t="n">
        <v>425</v>
      </c>
      <c r="D95" s="3" t="n">
        <f aca="false">AVERAGE(C89:C95)</f>
        <v>403.857142857143</v>
      </c>
    </row>
    <row r="96" customFormat="false" ht="15" hidden="false" customHeight="false" outlineLevel="0" collapsed="false">
      <c r="A96" s="3" t="s">
        <v>105</v>
      </c>
      <c r="B96" s="4" t="s">
        <v>11</v>
      </c>
      <c r="C96" s="3" t="n">
        <v>391</v>
      </c>
      <c r="D96" s="3" t="n">
        <f aca="false">AVERAGE(C90:C96)</f>
        <v>402.142857142857</v>
      </c>
    </row>
    <row r="97" customFormat="false" ht="15" hidden="false" customHeight="false" outlineLevel="0" collapsed="false">
      <c r="A97" s="3" t="s">
        <v>106</v>
      </c>
      <c r="B97" s="4" t="s">
        <v>13</v>
      </c>
      <c r="C97" s="3" t="n">
        <v>388</v>
      </c>
      <c r="D97" s="3" t="n">
        <f aca="false">AVERAGE(C91:C97)</f>
        <v>400.428571428571</v>
      </c>
    </row>
    <row r="98" customFormat="false" ht="15" hidden="false" customHeight="false" outlineLevel="0" collapsed="false">
      <c r="A98" s="3" t="s">
        <v>107</v>
      </c>
      <c r="B98" s="4" t="s">
        <v>15</v>
      </c>
      <c r="C98" s="3" t="n">
        <v>375</v>
      </c>
      <c r="D98" s="3" t="n">
        <f aca="false">AVERAGE(C92:C98)</f>
        <v>401.428571428571</v>
      </c>
    </row>
    <row r="99" customFormat="false" ht="15" hidden="false" customHeight="false" outlineLevel="0" collapsed="false">
      <c r="A99" s="3" t="s">
        <v>108</v>
      </c>
      <c r="B99" s="4" t="s">
        <v>17</v>
      </c>
      <c r="C99" s="3" t="n">
        <v>404</v>
      </c>
      <c r="D99" s="3" t="n">
        <f aca="false">AVERAGE(C93:C99)</f>
        <v>403.857142857143</v>
      </c>
    </row>
    <row r="100" customFormat="false" ht="15" hidden="false" customHeight="false" outlineLevel="0" collapsed="false">
      <c r="A100" s="3" t="s">
        <v>109</v>
      </c>
      <c r="B100" s="4" t="s">
        <v>5</v>
      </c>
      <c r="C100" s="3" t="n">
        <v>417</v>
      </c>
      <c r="D100" s="3" t="n">
        <f aca="false">AVERAGE(C94:C100)</f>
        <v>403.428571428571</v>
      </c>
    </row>
    <row r="101" customFormat="false" ht="15" hidden="false" customHeight="false" outlineLevel="0" collapsed="false">
      <c r="A101" s="3" t="s">
        <v>110</v>
      </c>
      <c r="B101" s="4" t="s">
        <v>7</v>
      </c>
      <c r="C101" s="3" t="n">
        <v>429</v>
      </c>
      <c r="D101" s="3" t="n">
        <f aca="false">AVERAGE(C95:C101)</f>
        <v>404.142857142857</v>
      </c>
    </row>
    <row r="102" customFormat="false" ht="15" hidden="false" customHeight="false" outlineLevel="0" collapsed="false">
      <c r="A102" s="3" t="s">
        <v>111</v>
      </c>
      <c r="B102" s="4" t="s">
        <v>9</v>
      </c>
      <c r="C102" s="3" t="n">
        <v>416</v>
      </c>
      <c r="D102" s="3" t="n">
        <f aca="false">AVERAGE(C96:C102)</f>
        <v>402.857142857143</v>
      </c>
    </row>
    <row r="103" customFormat="false" ht="15" hidden="false" customHeight="false" outlineLevel="0" collapsed="false">
      <c r="A103" s="3" t="s">
        <v>112</v>
      </c>
      <c r="B103" s="4" t="s">
        <v>11</v>
      </c>
      <c r="C103" s="3" t="n">
        <v>415</v>
      </c>
      <c r="D103" s="3" t="n">
        <f aca="false">AVERAGE(C97:C103)</f>
        <v>406.285714285714</v>
      </c>
    </row>
    <row r="104" customFormat="false" ht="15" hidden="false" customHeight="false" outlineLevel="0" collapsed="false">
      <c r="A104" s="3" t="s">
        <v>113</v>
      </c>
      <c r="B104" s="4" t="s">
        <v>13</v>
      </c>
      <c r="C104" s="3" t="n">
        <v>403</v>
      </c>
      <c r="D104" s="3" t="n">
        <f aca="false">AVERAGE(C98:C104)</f>
        <v>408.428571428571</v>
      </c>
    </row>
    <row r="105" customFormat="false" ht="15" hidden="false" customHeight="false" outlineLevel="0" collapsed="false">
      <c r="A105" s="3" t="s">
        <v>114</v>
      </c>
      <c r="B105" s="4" t="s">
        <v>15</v>
      </c>
      <c r="C105" s="3" t="n">
        <v>396</v>
      </c>
      <c r="D105" s="3" t="n">
        <f aca="false">AVERAGE(C99:C105)</f>
        <v>411.428571428571</v>
      </c>
    </row>
    <row r="106" customFormat="false" ht="15" hidden="false" customHeight="false" outlineLevel="0" collapsed="false">
      <c r="A106" s="3" t="s">
        <v>115</v>
      </c>
      <c r="B106" s="4" t="s">
        <v>17</v>
      </c>
      <c r="C106" s="3" t="n">
        <v>432</v>
      </c>
      <c r="D106" s="3" t="n">
        <f aca="false">AVERAGE(C100:C106)</f>
        <v>415.428571428571</v>
      </c>
    </row>
    <row r="107" customFormat="false" ht="15" hidden="false" customHeight="false" outlineLevel="0" collapsed="false">
      <c r="A107" s="3" t="s">
        <v>116</v>
      </c>
      <c r="B107" s="4" t="s">
        <v>5</v>
      </c>
      <c r="C107" s="3" t="n">
        <v>442</v>
      </c>
      <c r="D107" s="3" t="n">
        <f aca="false">AVERAGE(C101:C107)</f>
        <v>419</v>
      </c>
    </row>
    <row r="108" customFormat="false" ht="15" hidden="false" customHeight="false" outlineLevel="0" collapsed="false">
      <c r="A108" s="3" t="s">
        <v>117</v>
      </c>
      <c r="B108" s="4" t="s">
        <v>7</v>
      </c>
      <c r="C108" s="3" t="n">
        <v>440</v>
      </c>
      <c r="D108" s="3" t="n">
        <f aca="false">AVERAGE(C102:C108)</f>
        <v>420.571428571429</v>
      </c>
    </row>
    <row r="109" customFormat="false" ht="15" hidden="false" customHeight="false" outlineLevel="0" collapsed="false">
      <c r="A109" s="3" t="s">
        <v>118</v>
      </c>
      <c r="B109" s="4" t="s">
        <v>9</v>
      </c>
      <c r="C109" s="3" t="n">
        <v>430</v>
      </c>
      <c r="D109" s="3" t="n">
        <f aca="false">AVERAGE(C103:C109)</f>
        <v>422.571428571429</v>
      </c>
    </row>
    <row r="110" customFormat="false" ht="15" hidden="false" customHeight="false" outlineLevel="0" collapsed="false">
      <c r="A110" s="3" t="s">
        <v>119</v>
      </c>
      <c r="B110" s="4" t="s">
        <v>11</v>
      </c>
      <c r="C110" s="3" t="n">
        <v>404</v>
      </c>
      <c r="D110" s="3" t="n">
        <f aca="false">AVERAGE(C104:C110)</f>
        <v>421</v>
      </c>
    </row>
    <row r="111" customFormat="false" ht="15" hidden="false" customHeight="false" outlineLevel="0" collapsed="false">
      <c r="A111" s="3" t="s">
        <v>120</v>
      </c>
      <c r="B111" s="4" t="s">
        <v>13</v>
      </c>
      <c r="C111" s="3" t="n">
        <v>396</v>
      </c>
      <c r="D111" s="3" t="n">
        <f aca="false">AVERAGE(C105:C111)</f>
        <v>420</v>
      </c>
    </row>
    <row r="112" customFormat="false" ht="15" hidden="false" customHeight="false" outlineLevel="0" collapsed="false">
      <c r="A112" s="3" t="s">
        <v>121</v>
      </c>
      <c r="B112" s="4" t="s">
        <v>15</v>
      </c>
      <c r="C112" s="3" t="n">
        <v>394</v>
      </c>
      <c r="D112" s="3" t="n">
        <f aca="false">AVERAGE(C106:C112)</f>
        <v>419.714285714286</v>
      </c>
    </row>
    <row r="113" customFormat="false" ht="15" hidden="false" customHeight="false" outlineLevel="0" collapsed="false">
      <c r="A113" s="3" t="s">
        <v>122</v>
      </c>
      <c r="B113" s="4" t="s">
        <v>17</v>
      </c>
      <c r="C113" s="3" t="n">
        <v>436</v>
      </c>
      <c r="D113" s="3" t="n">
        <f aca="false">AVERAGE(C107:C113)</f>
        <v>420.285714285714</v>
      </c>
    </row>
    <row r="114" customFormat="false" ht="15" hidden="false" customHeight="false" outlineLevel="0" collapsed="false">
      <c r="A114" s="3" t="s">
        <v>123</v>
      </c>
      <c r="B114" s="4" t="s">
        <v>5</v>
      </c>
      <c r="C114" s="3" t="n">
        <v>445</v>
      </c>
      <c r="D114" s="3" t="n">
        <f aca="false">AVERAGE(C108:C114)</f>
        <v>420.714285714286</v>
      </c>
    </row>
    <row r="115" customFormat="false" ht="15" hidden="false" customHeight="false" outlineLevel="0" collapsed="false">
      <c r="A115" s="3" t="s">
        <v>124</v>
      </c>
      <c r="B115" s="4" t="s">
        <v>7</v>
      </c>
      <c r="C115" s="3" t="n">
        <v>450</v>
      </c>
      <c r="D115" s="3" t="n">
        <f aca="false">AVERAGE(C109:C115)</f>
        <v>422.142857142857</v>
      </c>
    </row>
    <row r="116" customFormat="false" ht="15" hidden="false" customHeight="false" outlineLevel="0" collapsed="false">
      <c r="A116" s="3" t="s">
        <v>125</v>
      </c>
      <c r="B116" s="4" t="s">
        <v>9</v>
      </c>
      <c r="C116" s="3" t="n">
        <v>440</v>
      </c>
      <c r="D116" s="3" t="n">
        <f aca="false">AVERAGE(C110:C116)</f>
        <v>423.571428571429</v>
      </c>
    </row>
    <row r="117" customFormat="false" ht="15" hidden="false" customHeight="false" outlineLevel="0" collapsed="false">
      <c r="A117" s="3" t="s">
        <v>126</v>
      </c>
      <c r="B117" s="4" t="s">
        <v>11</v>
      </c>
      <c r="C117" s="3" t="n">
        <v>434</v>
      </c>
      <c r="D117" s="3" t="n">
        <f aca="false">AVERAGE(C111:C117)</f>
        <v>427.857142857143</v>
      </c>
    </row>
    <row r="118" customFormat="false" ht="15" hidden="false" customHeight="false" outlineLevel="0" collapsed="false">
      <c r="A118" s="3" t="s">
        <v>127</v>
      </c>
      <c r="B118" s="4" t="s">
        <v>13</v>
      </c>
      <c r="C118" s="3" t="n">
        <v>427</v>
      </c>
      <c r="D118" s="3" t="n">
        <f aca="false">AVERAGE(C112:C118)</f>
        <v>432.285714285714</v>
      </c>
    </row>
    <row r="119" customFormat="false" ht="15" hidden="false" customHeight="false" outlineLevel="0" collapsed="false">
      <c r="A119" s="3" t="s">
        <v>128</v>
      </c>
      <c r="B119" s="4" t="s">
        <v>15</v>
      </c>
      <c r="C119" s="3" t="n">
        <v>425</v>
      </c>
      <c r="D119" s="3" t="n">
        <f aca="false">AVERAGE(C113:C119)</f>
        <v>436.714285714286</v>
      </c>
    </row>
    <row r="120" customFormat="false" ht="15" hidden="false" customHeight="false" outlineLevel="0" collapsed="false">
      <c r="A120" s="3" t="s">
        <v>129</v>
      </c>
      <c r="B120" s="4" t="s">
        <v>17</v>
      </c>
      <c r="C120" s="3" t="n">
        <v>444</v>
      </c>
      <c r="D120" s="3" t="n">
        <f aca="false">AVERAGE(C114:C120)</f>
        <v>437.857142857143</v>
      </c>
    </row>
    <row r="121" customFormat="false" ht="15" hidden="false" customHeight="false" outlineLevel="0" collapsed="false">
      <c r="A121" s="3" t="s">
        <v>130</v>
      </c>
      <c r="B121" s="4" t="s">
        <v>5</v>
      </c>
      <c r="C121" s="3" t="n">
        <v>453</v>
      </c>
      <c r="D121" s="3" t="n">
        <f aca="false">AVERAGE(C115:C121)</f>
        <v>439</v>
      </c>
    </row>
    <row r="122" customFormat="false" ht="15" hidden="false" customHeight="false" outlineLevel="0" collapsed="false">
      <c r="A122" s="3" t="s">
        <v>131</v>
      </c>
      <c r="B122" s="4" t="s">
        <v>7</v>
      </c>
      <c r="C122" s="3" t="n">
        <v>466</v>
      </c>
      <c r="D122" s="3" t="n">
        <f aca="false">AVERAGE(C116:C122)</f>
        <v>441.285714285714</v>
      </c>
    </row>
    <row r="123" customFormat="false" ht="15" hidden="false" customHeight="false" outlineLevel="0" collapsed="false">
      <c r="A123" s="3" t="s">
        <v>132</v>
      </c>
      <c r="B123" s="4" t="s">
        <v>9</v>
      </c>
      <c r="C123" s="3" t="n">
        <v>462</v>
      </c>
      <c r="D123" s="3" t="n">
        <f aca="false">AVERAGE(C117:C123)</f>
        <v>444.428571428571</v>
      </c>
    </row>
    <row r="124" customFormat="false" ht="15" hidden="false" customHeight="false" outlineLevel="0" collapsed="false">
      <c r="A124" s="3" t="s">
        <v>133</v>
      </c>
      <c r="B124" s="4" t="s">
        <v>11</v>
      </c>
      <c r="C124" s="3" t="n">
        <v>437</v>
      </c>
      <c r="D124" s="3" t="n">
        <f aca="false">AVERAGE(C118:C124)</f>
        <v>444.857142857143</v>
      </c>
    </row>
    <row r="125" customFormat="false" ht="15" hidden="false" customHeight="false" outlineLevel="0" collapsed="false">
      <c r="A125" s="3" t="s">
        <v>134</v>
      </c>
      <c r="B125" s="4" t="s">
        <v>13</v>
      </c>
      <c r="C125" s="3" t="n">
        <v>440</v>
      </c>
      <c r="D125" s="3" t="n">
        <f aca="false">AVERAGE(C119:C125)</f>
        <v>446.714285714286</v>
      </c>
    </row>
    <row r="126" customFormat="false" ht="15" hidden="false" customHeight="false" outlineLevel="0" collapsed="false">
      <c r="A126" s="3" t="s">
        <v>135</v>
      </c>
      <c r="B126" s="4" t="s">
        <v>15</v>
      </c>
      <c r="C126" s="3" t="n">
        <v>441</v>
      </c>
      <c r="D126" s="3" t="n">
        <f aca="false">AVERAGE(C120:C126)</f>
        <v>449</v>
      </c>
    </row>
    <row r="127" customFormat="false" ht="15" hidden="false" customHeight="false" outlineLevel="0" collapsed="false">
      <c r="A127" s="3" t="s">
        <v>136</v>
      </c>
      <c r="B127" s="4" t="s">
        <v>17</v>
      </c>
      <c r="C127" s="3" t="n">
        <v>474</v>
      </c>
      <c r="D127" s="3" t="n">
        <f aca="false">AVERAGE(C121:C127)</f>
        <v>453.285714285714</v>
      </c>
    </row>
    <row r="128" customFormat="false" ht="15" hidden="false" customHeight="false" outlineLevel="0" collapsed="false">
      <c r="A128" s="3" t="s">
        <v>137</v>
      </c>
      <c r="B128" s="4" t="s">
        <v>5</v>
      </c>
      <c r="C128" s="3" t="n">
        <v>484</v>
      </c>
      <c r="D128" s="3" t="n">
        <f aca="false">AVERAGE(C122:C128)</f>
        <v>457.714285714286</v>
      </c>
    </row>
    <row r="129" customFormat="false" ht="15" hidden="false" customHeight="false" outlineLevel="0" collapsed="false">
      <c r="A129" s="3" t="s">
        <v>138</v>
      </c>
      <c r="B129" s="4" t="s">
        <v>7</v>
      </c>
      <c r="C129" s="3" t="n">
        <v>494</v>
      </c>
      <c r="D129" s="3" t="n">
        <f aca="false">AVERAGE(C123:C129)</f>
        <v>461.714285714286</v>
      </c>
    </row>
    <row r="130" customFormat="false" ht="15" hidden="false" customHeight="false" outlineLevel="0" collapsed="false">
      <c r="A130" s="3" t="s">
        <v>139</v>
      </c>
      <c r="B130" s="4" t="s">
        <v>9</v>
      </c>
      <c r="C130" s="3" t="n">
        <v>482</v>
      </c>
      <c r="D130" s="3" t="n">
        <f aca="false">AVERAGE(C124:C130)</f>
        <v>464.571428571429</v>
      </c>
    </row>
    <row r="131" customFormat="false" ht="15" hidden="false" customHeight="false" outlineLevel="0" collapsed="false">
      <c r="A131" s="3" t="s">
        <v>140</v>
      </c>
      <c r="B131" s="4" t="s">
        <v>11</v>
      </c>
      <c r="C131" s="3" t="n">
        <v>463</v>
      </c>
      <c r="D131" s="3" t="n">
        <f aca="false">AVERAGE(C125:C131)</f>
        <v>468.285714285714</v>
      </c>
    </row>
    <row r="132" customFormat="false" ht="15" hidden="false" customHeight="false" outlineLevel="0" collapsed="false">
      <c r="A132" s="3" t="s">
        <v>141</v>
      </c>
      <c r="B132" s="4" t="s">
        <v>13</v>
      </c>
      <c r="C132" s="3" t="n">
        <v>439</v>
      </c>
      <c r="D132" s="3" t="n">
        <f aca="false">AVERAGE(C126:C132)</f>
        <v>468.142857142857</v>
      </c>
    </row>
    <row r="133" customFormat="false" ht="15" hidden="false" customHeight="false" outlineLevel="0" collapsed="false">
      <c r="A133" s="3" t="s">
        <v>142</v>
      </c>
      <c r="B133" s="4" t="s">
        <v>15</v>
      </c>
      <c r="C133" s="3" t="n">
        <v>410</v>
      </c>
      <c r="D133" s="3" t="n">
        <f aca="false">AVERAGE(C127:C133)</f>
        <v>463.714285714286</v>
      </c>
    </row>
    <row r="134" customFormat="false" ht="15" hidden="false" customHeight="false" outlineLevel="0" collapsed="false">
      <c r="A134" s="3" t="s">
        <v>143</v>
      </c>
      <c r="B134" s="4" t="s">
        <v>17</v>
      </c>
      <c r="C134" s="3" t="n">
        <v>450</v>
      </c>
      <c r="D134" s="3" t="n">
        <f aca="false">AVERAGE(C128:C134)</f>
        <v>460.285714285714</v>
      </c>
    </row>
    <row r="135" customFormat="false" ht="15" hidden="false" customHeight="false" outlineLevel="0" collapsed="false">
      <c r="A135" s="3" t="s">
        <v>144</v>
      </c>
      <c r="B135" s="4" t="s">
        <v>5</v>
      </c>
      <c r="C135" s="3" t="n">
        <v>474</v>
      </c>
      <c r="D135" s="3" t="n">
        <f aca="false">AVERAGE(C129:C135)</f>
        <v>458.857142857143</v>
      </c>
    </row>
    <row r="136" customFormat="false" ht="15" hidden="false" customHeight="false" outlineLevel="0" collapsed="false">
      <c r="A136" s="3" t="s">
        <v>145</v>
      </c>
      <c r="B136" s="4" t="s">
        <v>7</v>
      </c>
      <c r="C136" s="3" t="n">
        <v>484</v>
      </c>
      <c r="D136" s="3" t="n">
        <f aca="false">AVERAGE(C130:C136)</f>
        <v>457.428571428571</v>
      </c>
    </row>
    <row r="137" customFormat="false" ht="15" hidden="false" customHeight="false" outlineLevel="0" collapsed="false">
      <c r="A137" s="3" t="s">
        <v>146</v>
      </c>
      <c r="B137" s="4" t="s">
        <v>9</v>
      </c>
      <c r="C137" s="3" t="n">
        <v>485</v>
      </c>
      <c r="D137" s="3" t="n">
        <f aca="false">AVERAGE(C131:C137)</f>
        <v>457.857142857143</v>
      </c>
    </row>
    <row r="138" customFormat="false" ht="15" hidden="false" customHeight="false" outlineLevel="0" collapsed="false">
      <c r="A138" s="3" t="s">
        <v>147</v>
      </c>
      <c r="B138" s="4" t="s">
        <v>11</v>
      </c>
      <c r="C138" s="3" t="n">
        <v>487</v>
      </c>
      <c r="D138" s="3" t="n">
        <f aca="false">AVERAGE(C132:C138)</f>
        <v>461.285714285714</v>
      </c>
    </row>
    <row r="139" customFormat="false" ht="15" hidden="false" customHeight="false" outlineLevel="0" collapsed="false">
      <c r="A139" s="3" t="s">
        <v>148</v>
      </c>
      <c r="B139" s="4" t="s">
        <v>13</v>
      </c>
      <c r="C139" s="3" t="n">
        <v>454</v>
      </c>
      <c r="D139" s="3" t="n">
        <f aca="false">AVERAGE(C133:C139)</f>
        <v>463.428571428571</v>
      </c>
    </row>
    <row r="140" customFormat="false" ht="15" hidden="false" customHeight="false" outlineLevel="0" collapsed="false">
      <c r="A140" s="3" t="s">
        <v>149</v>
      </c>
      <c r="B140" s="4" t="s">
        <v>15</v>
      </c>
      <c r="C140" s="3" t="n">
        <v>447</v>
      </c>
      <c r="D140" s="3" t="n">
        <f aca="false">AVERAGE(C134:C140)</f>
        <v>468.714285714286</v>
      </c>
    </row>
    <row r="141" customFormat="false" ht="15" hidden="false" customHeight="false" outlineLevel="0" collapsed="false">
      <c r="A141" s="3" t="s">
        <v>150</v>
      </c>
      <c r="B141" s="4" t="s">
        <v>17</v>
      </c>
      <c r="C141" s="3" t="n">
        <v>501</v>
      </c>
      <c r="D141" s="3" t="n">
        <f aca="false">AVERAGE(C135:C141)</f>
        <v>476</v>
      </c>
    </row>
    <row r="142" customFormat="false" ht="15" hidden="false" customHeight="false" outlineLevel="0" collapsed="false">
      <c r="A142" s="3" t="s">
        <v>151</v>
      </c>
      <c r="B142" s="4" t="s">
        <v>5</v>
      </c>
      <c r="C142" s="3" t="n">
        <v>524</v>
      </c>
      <c r="D142" s="3" t="n">
        <f aca="false">AVERAGE(C136:C142)</f>
        <v>483.142857142857</v>
      </c>
    </row>
    <row r="143" customFormat="false" ht="15" hidden="false" customHeight="false" outlineLevel="0" collapsed="false">
      <c r="A143" s="3" t="s">
        <v>152</v>
      </c>
      <c r="B143" s="4" t="s">
        <v>7</v>
      </c>
      <c r="C143" s="3" t="n">
        <v>520</v>
      </c>
      <c r="D143" s="3" t="n">
        <f aca="false">AVERAGE(C137:C143)</f>
        <v>488.285714285714</v>
      </c>
    </row>
    <row r="144" customFormat="false" ht="15" hidden="false" customHeight="false" outlineLevel="0" collapsed="false">
      <c r="A144" s="3" t="s">
        <v>153</v>
      </c>
      <c r="B144" s="4" t="s">
        <v>9</v>
      </c>
      <c r="C144" s="3" t="n">
        <v>510</v>
      </c>
      <c r="D144" s="3" t="n">
        <f aca="false">AVERAGE(C138:C144)</f>
        <v>491.857142857143</v>
      </c>
    </row>
    <row r="145" customFormat="false" ht="15" hidden="false" customHeight="false" outlineLevel="0" collapsed="false">
      <c r="A145" s="3" t="s">
        <v>154</v>
      </c>
      <c r="B145" s="4" t="s">
        <v>11</v>
      </c>
      <c r="C145" s="3" t="n">
        <v>507</v>
      </c>
      <c r="D145" s="3" t="n">
        <f aca="false">AVERAGE(C139:C145)</f>
        <v>494.714285714286</v>
      </c>
    </row>
    <row r="146" customFormat="false" ht="15" hidden="false" customHeight="false" outlineLevel="0" collapsed="false">
      <c r="A146" s="3" t="s">
        <v>155</v>
      </c>
      <c r="B146" s="4" t="s">
        <v>13</v>
      </c>
      <c r="C146" s="3" t="n">
        <v>504</v>
      </c>
      <c r="D146" s="3" t="n">
        <f aca="false">AVERAGE(C140:C146)</f>
        <v>501.857142857143</v>
      </c>
    </row>
    <row r="147" customFormat="false" ht="15" hidden="false" customHeight="false" outlineLevel="0" collapsed="false">
      <c r="A147" s="3" t="s">
        <v>156</v>
      </c>
      <c r="B147" s="4" t="s">
        <v>15</v>
      </c>
      <c r="C147" s="3" t="n">
        <v>509</v>
      </c>
      <c r="D147" s="3" t="n">
        <f aca="false">AVERAGE(C141:C147)</f>
        <v>510.714285714286</v>
      </c>
    </row>
    <row r="148" customFormat="false" ht="15" hidden="false" customHeight="false" outlineLevel="0" collapsed="false">
      <c r="A148" s="3" t="s">
        <v>157</v>
      </c>
      <c r="B148" s="4" t="s">
        <v>17</v>
      </c>
      <c r="C148" s="3" t="n">
        <v>545</v>
      </c>
      <c r="D148" s="3" t="n">
        <f aca="false">AVERAGE(C142:C148)</f>
        <v>517</v>
      </c>
    </row>
    <row r="149" customFormat="false" ht="15" hidden="false" customHeight="false" outlineLevel="0" collapsed="false">
      <c r="A149" s="3" t="s">
        <v>158</v>
      </c>
      <c r="B149" s="4" t="s">
        <v>5</v>
      </c>
      <c r="C149" s="3" t="n">
        <v>544</v>
      </c>
      <c r="D149" s="3" t="n">
        <f aca="false">AVERAGE(C143:C149)</f>
        <v>519.857142857143</v>
      </c>
    </row>
    <row r="150" customFormat="false" ht="15" hidden="false" customHeight="false" outlineLevel="0" collapsed="false">
      <c r="A150" s="3" t="s">
        <v>159</v>
      </c>
      <c r="B150" s="4" t="s">
        <v>7</v>
      </c>
      <c r="C150" s="3" t="n">
        <v>546</v>
      </c>
      <c r="D150" s="3" t="n">
        <f aca="false">AVERAGE(C144:C150)</f>
        <v>523.571428571429</v>
      </c>
    </row>
    <row r="151" customFormat="false" ht="15" hidden="false" customHeight="false" outlineLevel="0" collapsed="false">
      <c r="A151" s="3" t="s">
        <v>160</v>
      </c>
      <c r="B151" s="4" t="s">
        <v>9</v>
      </c>
      <c r="C151" s="3" t="n">
        <v>539</v>
      </c>
      <c r="D151" s="3" t="n">
        <f aca="false">AVERAGE(C145:C151)</f>
        <v>527.714285714286</v>
      </c>
    </row>
    <row r="152" customFormat="false" ht="15" hidden="false" customHeight="false" outlineLevel="0" collapsed="false">
      <c r="A152" s="3" t="s">
        <v>161</v>
      </c>
      <c r="B152" s="4" t="s">
        <v>11</v>
      </c>
      <c r="C152" s="3" t="n">
        <v>524</v>
      </c>
      <c r="D152" s="3" t="n">
        <f aca="false">AVERAGE(C146:C152)</f>
        <v>530.142857142857</v>
      </c>
    </row>
    <row r="153" customFormat="false" ht="15" hidden="false" customHeight="false" outlineLevel="0" collapsed="false">
      <c r="A153" s="3" t="s">
        <v>162</v>
      </c>
      <c r="B153" s="4" t="s">
        <v>13</v>
      </c>
      <c r="C153" s="3" t="n">
        <v>516</v>
      </c>
      <c r="D153" s="3" t="n">
        <f aca="false">AVERAGE(C147:C153)</f>
        <v>531.857142857143</v>
      </c>
    </row>
    <row r="154" customFormat="false" ht="15" hidden="false" customHeight="false" outlineLevel="0" collapsed="false">
      <c r="A154" s="3" t="s">
        <v>163</v>
      </c>
      <c r="B154" s="4" t="s">
        <v>15</v>
      </c>
      <c r="C154" s="3" t="n">
        <v>508</v>
      </c>
      <c r="D154" s="3" t="n">
        <f aca="false">AVERAGE(C148:C154)</f>
        <v>531.714285714286</v>
      </c>
    </row>
    <row r="155" customFormat="false" ht="15" hidden="false" customHeight="false" outlineLevel="0" collapsed="false">
      <c r="A155" s="3" t="s">
        <v>164</v>
      </c>
      <c r="B155" s="4" t="s">
        <v>17</v>
      </c>
      <c r="C155" s="3" t="n">
        <v>555</v>
      </c>
      <c r="D155" s="3" t="n">
        <f aca="false">AVERAGE(C149:C155)</f>
        <v>533.142857142857</v>
      </c>
    </row>
    <row r="156" customFormat="false" ht="15" hidden="false" customHeight="false" outlineLevel="0" collapsed="false">
      <c r="A156" s="3" t="s">
        <v>165</v>
      </c>
      <c r="B156" s="4" t="s">
        <v>5</v>
      </c>
      <c r="C156" s="3" t="n">
        <v>548</v>
      </c>
      <c r="D156" s="3" t="n">
        <f aca="false">AVERAGE(C150:C156)</f>
        <v>533.714285714286</v>
      </c>
    </row>
    <row r="157" customFormat="false" ht="15" hidden="false" customHeight="false" outlineLevel="0" collapsed="false">
      <c r="A157" s="3" t="s">
        <v>166</v>
      </c>
      <c r="B157" s="4" t="s">
        <v>7</v>
      </c>
      <c r="C157" s="3" t="n">
        <v>543</v>
      </c>
      <c r="D157" s="3" t="n">
        <f aca="false">AVERAGE(C151:C157)</f>
        <v>533.285714285714</v>
      </c>
    </row>
    <row r="158" customFormat="false" ht="15" hidden="false" customHeight="false" outlineLevel="0" collapsed="false">
      <c r="A158" s="3" t="s">
        <v>167</v>
      </c>
      <c r="B158" s="4" t="s">
        <v>9</v>
      </c>
      <c r="C158" s="3" t="n">
        <v>533</v>
      </c>
      <c r="D158" s="3" t="n">
        <f aca="false">AVERAGE(C152:C158)</f>
        <v>532.428571428571</v>
      </c>
    </row>
    <row r="159" customFormat="false" ht="15" hidden="false" customHeight="false" outlineLevel="0" collapsed="false">
      <c r="A159" s="3" t="s">
        <v>168</v>
      </c>
      <c r="B159" s="4" t="s">
        <v>11</v>
      </c>
      <c r="C159" s="3" t="n">
        <v>531</v>
      </c>
      <c r="D159" s="3" t="n">
        <f aca="false">AVERAGE(C153:C159)</f>
        <v>533.428571428571</v>
      </c>
    </row>
    <row r="160" customFormat="false" ht="15" hidden="false" customHeight="false" outlineLevel="0" collapsed="false">
      <c r="A160" s="3" t="s">
        <v>169</v>
      </c>
      <c r="B160" s="4" t="s">
        <v>13</v>
      </c>
      <c r="C160" s="3" t="n">
        <v>507</v>
      </c>
      <c r="D160" s="3" t="n">
        <f aca="false">AVERAGE(C154:C160)</f>
        <v>532.142857142857</v>
      </c>
    </row>
    <row r="161" customFormat="false" ht="15" hidden="false" customHeight="false" outlineLevel="0" collapsed="false">
      <c r="A161" s="3" t="s">
        <v>170</v>
      </c>
      <c r="B161" s="4" t="s">
        <v>15</v>
      </c>
      <c r="C161" s="3" t="n">
        <v>492</v>
      </c>
      <c r="D161" s="3" t="n">
        <f aca="false">AVERAGE(C155:C161)</f>
        <v>529.857142857143</v>
      </c>
    </row>
    <row r="162" customFormat="false" ht="15" hidden="false" customHeight="false" outlineLevel="0" collapsed="false">
      <c r="A162" s="3" t="s">
        <v>171</v>
      </c>
      <c r="B162" s="4" t="s">
        <v>17</v>
      </c>
      <c r="C162" s="3" t="n">
        <v>508</v>
      </c>
      <c r="D162" s="3" t="n">
        <f aca="false">AVERAGE(C156:C162)</f>
        <v>523.142857142857</v>
      </c>
    </row>
    <row r="163" customFormat="false" ht="15" hidden="false" customHeight="false" outlineLevel="0" collapsed="false">
      <c r="A163" s="3" t="s">
        <v>172</v>
      </c>
      <c r="B163" s="4" t="s">
        <v>5</v>
      </c>
      <c r="C163" s="3" t="n">
        <v>511</v>
      </c>
      <c r="D163" s="3" t="n">
        <f aca="false">AVERAGE(C157:C163)</f>
        <v>517.857142857143</v>
      </c>
    </row>
    <row r="164" customFormat="false" ht="15" hidden="false" customHeight="false" outlineLevel="0" collapsed="false">
      <c r="A164" s="3" t="s">
        <v>173</v>
      </c>
      <c r="B164" s="4" t="s">
        <v>7</v>
      </c>
      <c r="C164" s="3" t="n">
        <v>499</v>
      </c>
      <c r="D164" s="3" t="n">
        <f aca="false">AVERAGE(C158:C164)</f>
        <v>511.571428571429</v>
      </c>
    </row>
    <row r="165" customFormat="false" ht="15" hidden="false" customHeight="false" outlineLevel="0" collapsed="false">
      <c r="A165" s="3" t="s">
        <v>174</v>
      </c>
      <c r="B165" s="4" t="s">
        <v>9</v>
      </c>
      <c r="C165" s="3" t="n">
        <v>498</v>
      </c>
      <c r="D165" s="3" t="n">
        <f aca="false">AVERAGE(C159:C165)</f>
        <v>506.571428571429</v>
      </c>
    </row>
    <row r="166" customFormat="false" ht="15" hidden="false" customHeight="false" outlineLevel="0" collapsed="false">
      <c r="A166" s="3" t="s">
        <v>175</v>
      </c>
      <c r="B166" s="4" t="s">
        <v>11</v>
      </c>
      <c r="C166" s="3" t="n">
        <v>479</v>
      </c>
      <c r="D166" s="3" t="n">
        <f aca="false">AVERAGE(C160:C166)</f>
        <v>499.142857142857</v>
      </c>
    </row>
    <row r="167" customFormat="false" ht="15" hidden="false" customHeight="false" outlineLevel="0" collapsed="false">
      <c r="A167" s="3" t="s">
        <v>176</v>
      </c>
      <c r="B167" s="4" t="s">
        <v>13</v>
      </c>
      <c r="C167" s="3" t="n">
        <v>448</v>
      </c>
      <c r="D167" s="3" t="n">
        <f aca="false">AVERAGE(C161:C167)</f>
        <v>490.714285714286</v>
      </c>
    </row>
    <row r="168" customFormat="false" ht="15" hidden="false" customHeight="false" outlineLevel="0" collapsed="false">
      <c r="A168" s="3" t="s">
        <v>177</v>
      </c>
      <c r="B168" s="4" t="s">
        <v>15</v>
      </c>
      <c r="C168" s="3" t="n">
        <v>433</v>
      </c>
      <c r="D168" s="3" t="n">
        <f aca="false">AVERAGE(C162:C168)</f>
        <v>482.285714285714</v>
      </c>
    </row>
    <row r="169" customFormat="false" ht="15" hidden="false" customHeight="false" outlineLevel="0" collapsed="false">
      <c r="A169" s="3" t="s">
        <v>178</v>
      </c>
      <c r="B169" s="4" t="s">
        <v>17</v>
      </c>
      <c r="C169" s="3" t="n">
        <v>422</v>
      </c>
      <c r="D169" s="3" t="n">
        <f aca="false">AVERAGE(C163:C169)</f>
        <v>470</v>
      </c>
    </row>
    <row r="170" customFormat="false" ht="15" hidden="false" customHeight="false" outlineLevel="0" collapsed="false">
      <c r="A170" s="3" t="s">
        <v>179</v>
      </c>
      <c r="B170" s="4" t="s">
        <v>5</v>
      </c>
      <c r="C170" s="3" t="n">
        <v>410</v>
      </c>
      <c r="D170" s="3" t="n">
        <f aca="false">AVERAGE(C164:C170)</f>
        <v>455.571428571429</v>
      </c>
    </row>
    <row r="171" customFormat="false" ht="15" hidden="false" customHeight="false" outlineLevel="0" collapsed="false">
      <c r="A171" s="3" t="s">
        <v>180</v>
      </c>
      <c r="B171" s="4" t="s">
        <v>7</v>
      </c>
      <c r="C171" s="3" t="n">
        <v>398</v>
      </c>
      <c r="D171" s="3" t="n">
        <f aca="false">AVERAGE(C165:C171)</f>
        <v>441.142857142857</v>
      </c>
    </row>
    <row r="172" customFormat="false" ht="15" hidden="false" customHeight="false" outlineLevel="0" collapsed="false">
      <c r="A172" s="3" t="s">
        <v>181</v>
      </c>
      <c r="B172" s="4" t="s">
        <v>9</v>
      </c>
      <c r="C172" s="3" t="n">
        <v>387</v>
      </c>
      <c r="D172" s="3" t="n">
        <f aca="false">AVERAGE(C166:C172)</f>
        <v>425.285714285714</v>
      </c>
    </row>
    <row r="173" customFormat="false" ht="15" hidden="false" customHeight="false" outlineLevel="0" collapsed="false">
      <c r="A173" s="3" t="s">
        <v>182</v>
      </c>
      <c r="B173" s="4" t="s">
        <v>11</v>
      </c>
      <c r="C173" s="3" t="n">
        <v>386</v>
      </c>
      <c r="D173" s="3" t="n">
        <f aca="false">AVERAGE(C167:C173)</f>
        <v>412</v>
      </c>
    </row>
    <row r="174" customFormat="false" ht="15" hidden="false" customHeight="false" outlineLevel="0" collapsed="false">
      <c r="A174" s="3" t="s">
        <v>183</v>
      </c>
      <c r="B174" s="4" t="s">
        <v>13</v>
      </c>
      <c r="C174" s="3" t="n">
        <v>398</v>
      </c>
      <c r="D174" s="3" t="n">
        <f aca="false">AVERAGE(C168:C174)</f>
        <v>404.857142857143</v>
      </c>
    </row>
    <row r="175" customFormat="false" ht="15" hidden="false" customHeight="false" outlineLevel="0" collapsed="false">
      <c r="A175" s="3" t="s">
        <v>184</v>
      </c>
      <c r="B175" s="4" t="s">
        <v>15</v>
      </c>
      <c r="C175" s="3" t="n">
        <v>463</v>
      </c>
      <c r="D175" s="3" t="n">
        <f aca="false">AVERAGE(C169:C175)</f>
        <v>409.142857142857</v>
      </c>
    </row>
    <row r="176" customFormat="false" ht="15" hidden="false" customHeight="false" outlineLevel="0" collapsed="false">
      <c r="A176" s="3" t="s">
        <v>185</v>
      </c>
      <c r="B176" s="4" t="s">
        <v>17</v>
      </c>
      <c r="C176" s="3" t="n">
        <v>522</v>
      </c>
      <c r="D176" s="3" t="n">
        <f aca="false">AVERAGE(C170:C176)</f>
        <v>423.428571428571</v>
      </c>
    </row>
    <row r="177" customFormat="false" ht="15" hidden="false" customHeight="false" outlineLevel="0" collapsed="false">
      <c r="A177" s="3" t="s">
        <v>186</v>
      </c>
      <c r="B177" s="4" t="s">
        <v>5</v>
      </c>
      <c r="C177" s="3" t="n">
        <v>556</v>
      </c>
      <c r="D177" s="3" t="n">
        <f aca="false">AVERAGE(C171:C177)</f>
        <v>444.285714285714</v>
      </c>
    </row>
    <row r="178" customFormat="false" ht="15" hidden="false" customHeight="false" outlineLevel="0" collapsed="false">
      <c r="A178" s="3" t="s">
        <v>187</v>
      </c>
      <c r="B178" s="4" t="s">
        <v>7</v>
      </c>
      <c r="C178" s="3" t="n">
        <v>570</v>
      </c>
      <c r="D178" s="3" t="n">
        <f aca="false">AVERAGE(C172:C178)</f>
        <v>468.857142857143</v>
      </c>
    </row>
    <row r="179" customFormat="false" ht="15" hidden="false" customHeight="false" outlineLevel="0" collapsed="false">
      <c r="A179" s="3" t="s">
        <v>188</v>
      </c>
      <c r="B179" s="4" t="s">
        <v>9</v>
      </c>
      <c r="C179" s="3" t="n">
        <v>565</v>
      </c>
      <c r="D179" s="3" t="n">
        <f aca="false">AVERAGE(C173:C179)</f>
        <v>494.285714285714</v>
      </c>
    </row>
    <row r="180" customFormat="false" ht="15" hidden="false" customHeight="false" outlineLevel="0" collapsed="false">
      <c r="A180" s="3" t="s">
        <v>189</v>
      </c>
      <c r="B180" s="4" t="s">
        <v>11</v>
      </c>
      <c r="C180" s="3" t="n">
        <v>563</v>
      </c>
      <c r="D180" s="3" t="n">
        <f aca="false">AVERAGE(C174:C180)</f>
        <v>519.571428571429</v>
      </c>
    </row>
    <row r="181" customFormat="false" ht="15" hidden="false" customHeight="false" outlineLevel="0" collapsed="false">
      <c r="A181" s="3" t="s">
        <v>190</v>
      </c>
      <c r="B181" s="4" t="s">
        <v>13</v>
      </c>
      <c r="C181" s="3" t="n">
        <v>553</v>
      </c>
      <c r="D181" s="3" t="n">
        <f aca="false">AVERAGE(C175:C181)</f>
        <v>541.714285714286</v>
      </c>
    </row>
    <row r="182" customFormat="false" ht="15" hidden="false" customHeight="false" outlineLevel="0" collapsed="false">
      <c r="A182" s="3" t="s">
        <v>191</v>
      </c>
      <c r="B182" s="4" t="s">
        <v>15</v>
      </c>
      <c r="C182" s="3" t="n">
        <v>482</v>
      </c>
      <c r="D182" s="3" t="n">
        <f aca="false">AVERAGE(C176:C182)</f>
        <v>544.428571428571</v>
      </c>
    </row>
    <row r="183" customFormat="false" ht="15" hidden="false" customHeight="false" outlineLevel="0" collapsed="false">
      <c r="A183" s="3" t="s">
        <v>192</v>
      </c>
      <c r="B183" s="4" t="s">
        <v>17</v>
      </c>
      <c r="C183" s="3" t="n">
        <v>495</v>
      </c>
      <c r="D183" s="3" t="n">
        <f aca="false">AVERAGE(C177:C183)</f>
        <v>540.571428571429</v>
      </c>
    </row>
    <row r="184" customFormat="false" ht="15" hidden="false" customHeight="false" outlineLevel="0" collapsed="false">
      <c r="A184" s="3" t="s">
        <v>193</v>
      </c>
      <c r="B184" s="4" t="s">
        <v>5</v>
      </c>
      <c r="C184" s="3" t="n">
        <v>500</v>
      </c>
      <c r="D184" s="3" t="n">
        <f aca="false">AVERAGE(C178:C184)</f>
        <v>532.571428571429</v>
      </c>
    </row>
    <row r="185" customFormat="false" ht="15" hidden="false" customHeight="false" outlineLevel="0" collapsed="false">
      <c r="A185" s="3" t="s">
        <v>194</v>
      </c>
      <c r="B185" s="4" t="s">
        <v>7</v>
      </c>
      <c r="C185" s="3" t="n">
        <v>493</v>
      </c>
      <c r="D185" s="3" t="n">
        <f aca="false">AVERAGE(C179:C185)</f>
        <v>521.571428571429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8"/>
  </cols>
  <sheetData>
    <row r="1" customFormat="false" ht="15" hidden="false" customHeight="false" outlineLevel="0" collapsed="false">
      <c r="A1" s="5" t="s">
        <v>5</v>
      </c>
      <c r="B1" s="5" t="s">
        <v>195</v>
      </c>
      <c r="C1" s="5" t="s">
        <v>196</v>
      </c>
      <c r="D1" s="5" t="s">
        <v>197</v>
      </c>
      <c r="E1" s="5" t="s">
        <v>198</v>
      </c>
    </row>
    <row r="2" customFormat="false" ht="15" hidden="false" customHeight="false" outlineLevel="0" collapsed="false">
      <c r="A2" s="3" t="s">
        <v>199</v>
      </c>
      <c r="B2" s="3" t="n">
        <v>19</v>
      </c>
      <c r="C2" s="3" t="n">
        <f aca="false">ROUND(AVERAGE(日別データ!C2:C20),1)</f>
        <v>323.4</v>
      </c>
      <c r="D2" s="3" t="n">
        <f aca="false">MIN(日別データ!C2:C20)</f>
        <v>160</v>
      </c>
      <c r="E2" s="3" t="n">
        <f aca="false">MAX(日別データ!C2:C20)</f>
        <v>394</v>
      </c>
    </row>
    <row r="3" customFormat="false" ht="15" hidden="false" customHeight="false" outlineLevel="0" collapsed="false">
      <c r="A3" s="3" t="s">
        <v>200</v>
      </c>
      <c r="B3" s="3" t="n">
        <v>31</v>
      </c>
      <c r="C3" s="3" t="n">
        <f aca="false">ROUND(AVERAGE(日別データ!C21:C51),1)</f>
        <v>476.8</v>
      </c>
      <c r="D3" s="3" t="n">
        <f aca="false">MIN(日別データ!C21:C51)</f>
        <v>326</v>
      </c>
      <c r="E3" s="3" t="n">
        <f aca="false">MAX(日別データ!C21:C51)</f>
        <v>599</v>
      </c>
    </row>
    <row r="4" customFormat="false" ht="15" hidden="false" customHeight="false" outlineLevel="0" collapsed="false">
      <c r="A4" s="3" t="s">
        <v>201</v>
      </c>
      <c r="B4" s="3" t="n">
        <v>30</v>
      </c>
      <c r="C4" s="3" t="n">
        <f aca="false">ROUND(AVERAGE(日別データ!C52:C81),1)</f>
        <v>514.4</v>
      </c>
      <c r="D4" s="3" t="n">
        <f aca="false">MIN(日別データ!C52:C81)</f>
        <v>381</v>
      </c>
      <c r="E4" s="3" t="n">
        <f aca="false">MAX(日別データ!C52:C81)</f>
        <v>575</v>
      </c>
    </row>
    <row r="5" customFormat="false" ht="15" hidden="false" customHeight="false" outlineLevel="0" collapsed="false">
      <c r="A5" s="3" t="s">
        <v>202</v>
      </c>
      <c r="B5" s="3" t="n">
        <v>31</v>
      </c>
      <c r="C5" s="3" t="n">
        <f aca="false">ROUND(AVERAGE(日別データ!C82:C112),1)</f>
        <v>412.8</v>
      </c>
      <c r="D5" s="3" t="n">
        <f aca="false">MIN(日別データ!C82:C112)</f>
        <v>368</v>
      </c>
      <c r="E5" s="3" t="n">
        <f aca="false">MAX(日別データ!C82:C112)</f>
        <v>465</v>
      </c>
    </row>
    <row r="6" customFormat="false" ht="15" hidden="false" customHeight="false" outlineLevel="0" collapsed="false">
      <c r="A6" s="3" t="s">
        <v>203</v>
      </c>
      <c r="B6" s="3" t="n">
        <v>30</v>
      </c>
      <c r="C6" s="3" t="n">
        <f aca="false">ROUND(AVERAGE(日別データ!C113:C142),1)</f>
        <v>458.4</v>
      </c>
      <c r="D6" s="3" t="n">
        <f aca="false">MIN(日別データ!C113:C142)</f>
        <v>410</v>
      </c>
      <c r="E6" s="3" t="n">
        <f aca="false">MAX(日別データ!C113:C142)</f>
        <v>524</v>
      </c>
    </row>
    <row r="7" customFormat="false" ht="15" hidden="false" customHeight="false" outlineLevel="0" collapsed="false">
      <c r="A7" s="3" t="s">
        <v>204</v>
      </c>
      <c r="B7" s="3" t="n">
        <v>31</v>
      </c>
      <c r="C7" s="3" t="n">
        <f aca="false">ROUND(AVERAGE(日別データ!C143:C173),1)</f>
        <v>495.5</v>
      </c>
      <c r="D7" s="3" t="n">
        <f aca="false">MIN(日別データ!C143:C173)</f>
        <v>386</v>
      </c>
      <c r="E7" s="3" t="n">
        <f aca="false">MAX(日別データ!C143:C173)</f>
        <v>555</v>
      </c>
    </row>
    <row r="8" customFormat="false" ht="15" hidden="false" customHeight="false" outlineLevel="0" collapsed="false">
      <c r="A8" s="3" t="s">
        <v>205</v>
      </c>
      <c r="B8" s="3" t="n">
        <v>12</v>
      </c>
      <c r="C8" s="3" t="n">
        <f aca="false">ROUND(AVERAGE(日別データ!C174:C185),1)</f>
        <v>513.3</v>
      </c>
      <c r="D8" s="3" t="n">
        <f aca="false">MIN(日別データ!C174:C185)</f>
        <v>398</v>
      </c>
      <c r="E8" s="3" t="n">
        <f aca="false">MAX(日別データ!C174:C185)</f>
        <v>570</v>
      </c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6" t="s">
        <v>206</v>
      </c>
      <c r="B10" s="3"/>
      <c r="C10" s="3"/>
      <c r="D10" s="3"/>
      <c r="E10" s="3"/>
    </row>
    <row r="11" customFormat="false" ht="15" hidden="false" customHeight="false" outlineLevel="0" collapsed="false">
      <c r="A11" s="4" t="s">
        <v>197</v>
      </c>
      <c r="B11" s="3" t="n">
        <f aca="false">MIN(日別データ!C2:C185)</f>
        <v>160</v>
      </c>
      <c r="C11" s="3"/>
      <c r="D11" s="3"/>
      <c r="E11" s="3"/>
    </row>
    <row r="12" customFormat="false" ht="15" hidden="false" customHeight="false" outlineLevel="0" collapsed="false">
      <c r="A12" s="4" t="s">
        <v>198</v>
      </c>
      <c r="B12" s="3" t="n">
        <f aca="false">MAX(日別データ!C2:C185)</f>
        <v>599</v>
      </c>
      <c r="C12" s="3"/>
      <c r="D12" s="3"/>
      <c r="E12" s="3"/>
    </row>
    <row r="13" customFormat="false" ht="15" hidden="false" customHeight="false" outlineLevel="0" collapsed="false">
      <c r="A13" s="4" t="s">
        <v>196</v>
      </c>
      <c r="B13" s="3" t="n">
        <f aca="false">ROUND(AVERAGE(日別データ!C2:C185),1)</f>
        <v>458.8</v>
      </c>
      <c r="C13" s="3"/>
      <c r="D13" s="3"/>
      <c r="E13" s="3"/>
    </row>
    <row r="14" customFormat="false" ht="15" hidden="false" customHeight="false" outlineLevel="0" collapsed="false">
      <c r="A14" s="4" t="s">
        <v>207</v>
      </c>
      <c r="B14" s="3" t="n">
        <f aca="false">MEDIAN(日別データ!C2:C185)</f>
        <v>462</v>
      </c>
      <c r="C14" s="3"/>
      <c r="D14" s="3"/>
      <c r="E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2026-07-13T11:13:59Z</dcterms:created>
  <dc:creator>openpyxl</dc:creator>
  <dc:description/>
  <dc:language>en-US</dc:language>
  <cp:lastModifiedBy/>
  <dcterms:modified xsi:type="dcterms:W3CDTF">2026-07-13T20:14:01Z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