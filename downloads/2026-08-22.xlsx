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<sst xmlns="http://schemas.openxmlformats.org/spreadsheetml/2006/main" count="395" uniqueCount="30">
  <si>
    <r>
      <rPr>
        <b val="true"/>
        <sz val="14"/>
        <rFont val="Arial"/>
        <family val="0"/>
        <charset val="1"/>
      </rPr>
      <t xml:space="preserve">Airbnb </t>
    </r>
    <r>
      <rPr>
        <b val="true"/>
        <sz val="14"/>
        <rFont val="Noto Sans CJK SC"/>
        <family val="2"/>
      </rPr>
      <t xml:space="preserve">羽田空港エリア 競合市場在庫数（日別）</t>
    </r>
  </si>
  <si>
    <r>
      <rPr>
        <i val="true"/>
        <sz val="9"/>
        <rFont val="Noto Sans CJK SC"/>
        <family val="2"/>
      </rPr>
      <t xml:space="preserve">セグメント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羽田空港エリア／まるまる貸切／ゲストチョイス／大人</t>
    </r>
    <r>
      <rPr>
        <i val="true"/>
        <sz val="9"/>
        <rFont val="Arial"/>
        <family val="0"/>
        <charset val="1"/>
      </rPr>
      <t xml:space="preserve">5</t>
    </r>
    <r>
      <rPr>
        <i val="true"/>
        <sz val="9"/>
        <rFont val="Noto Sans CJK SC"/>
        <family val="2"/>
      </rPr>
      <t xml:space="preserve">名／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泊　／　取得日</t>
    </r>
    <r>
      <rPr>
        <i val="true"/>
        <sz val="9"/>
        <rFont val="Arial"/>
        <family val="0"/>
        <charset val="1"/>
      </rPr>
      <t xml:space="preserve">: 2026-08-22</t>
    </r>
    <r>
      <rPr>
        <i val="true"/>
        <sz val="9"/>
        <rFont val="Noto Sans CJK SC"/>
        <family val="2"/>
      </rPr>
      <t xml:space="preserve">　／　出所</t>
    </r>
    <r>
      <rPr>
        <i val="true"/>
        <sz val="9"/>
        <rFont val="Arial"/>
        <family val="0"/>
        <charset val="1"/>
      </rPr>
      <t xml:space="preserve">: Airbnb</t>
    </r>
    <r>
      <rPr>
        <i val="true"/>
        <sz val="9"/>
        <rFont val="Noto Sans CJK SC"/>
        <family val="2"/>
      </rPr>
      <t xml:space="preserve">検索結果ページの</t>
    </r>
    <r>
      <rPr>
        <i val="true"/>
        <sz val="9"/>
        <rFont val="Arial"/>
        <family val="0"/>
        <charset val="1"/>
      </rPr>
      <t xml:space="preserve">SSR</t>
    </r>
    <r>
      <rPr>
        <i val="true"/>
        <sz val="9"/>
        <rFont val="Noto Sans CJK SC"/>
        <family val="2"/>
      </rPr>
      <t xml:space="preserve">レスポンス件数（ハードコード入力）</t>
    </r>
  </si>
  <si>
    <t xml:space="preserve">日付</t>
  </si>
  <si>
    <t xml:space="preserve">曜日</t>
  </si>
  <si>
    <t xml:space="preserve">在庫件数</t>
  </si>
  <si>
    <t xml:space="preserve">今日からの日数</t>
  </si>
  <si>
    <t xml:space="preserve">月</t>
  </si>
  <si>
    <t xml:space="preserve">土</t>
  </si>
  <si>
    <t xml:space="preserve">2026-08</t>
  </si>
  <si>
    <t xml:space="preserve">日</t>
  </si>
  <si>
    <t xml:space="preserve">火</t>
  </si>
  <si>
    <t xml:space="preserve">水</t>
  </si>
  <si>
    <t xml:space="preserve">木</t>
  </si>
  <si>
    <t xml:space="preserve">金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</si>
  <si>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</si>
  <si>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</si>
  <si>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</si>
  <si>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</si>
  <si>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</si>
  <si>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</si>
  <si>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統計（期間全体）</t>
  </si>
  <si>
    <t xml:space="preserve">最小</t>
  </si>
  <si>
    <t xml:space="preserve">最大</t>
  </si>
  <si>
    <t xml:space="preserve">平均</t>
  </si>
  <si>
    <t xml:space="preserve">中央値</t>
  </si>
  <si>
    <t xml:space="preserve">データ日数</t>
  </si>
  <si>
    <r>
      <rPr>
        <i val="true"/>
        <sz val="9"/>
        <rFont val="Noto Sans CJK SC"/>
        <family val="2"/>
      </rPr>
      <t xml:space="preserve">※在庫件数は</t>
    </r>
    <r>
      <rPr>
        <i val="true"/>
        <sz val="9"/>
        <rFont val="Arial"/>
        <family val="0"/>
        <charset val="1"/>
      </rPr>
      <t xml:space="preserve">Airbnb</t>
    </r>
    <r>
      <rPr>
        <i val="true"/>
        <sz val="9"/>
        <rFont val="Noto Sans CJK SC"/>
        <family val="2"/>
      </rPr>
      <t xml:space="preserve">検索結果の「</t>
    </r>
    <r>
      <rPr>
        <i val="true"/>
        <sz val="9"/>
        <rFont val="Arial"/>
        <family val="0"/>
        <charset val="1"/>
      </rPr>
      <t xml:space="preserve">XX</t>
    </r>
    <r>
      <rPr>
        <i val="true"/>
        <sz val="9"/>
        <rFont val="Noto Sans CJK SC"/>
        <family val="2"/>
      </rPr>
      <t xml:space="preserve">件」表示をそのまま記録した実測値です（計算値ではありません）。</t>
    </r>
  </si>
  <si>
    <t xml:space="preserve">月別サマリ</t>
  </si>
  <si>
    <t xml:space="preserve">平均在庫</t>
  </si>
  <si>
    <t xml:space="preserve">日数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</si>
</sst>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0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競合在庫数の推移（大人5名・まるまる貸切・ゲストチョイス）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日別データ!C4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日別データ!$A$5:$A$188</c:f>
              <c:strCache>
                <c:ptCount val="184"/>
                <c:pt idx="0">
                  <c:v>2026-08-22</c:v>
                </c:pt>
                <c:pt idx="1">
                  <c:v>2026-08-23</c:v>
                </c:pt>
                <c:pt idx="2">
                  <c:v>2026-08-24</c:v>
                </c:pt>
                <c:pt idx="3">
                  <c:v>2026-08-25</c:v>
                </c:pt>
                <c:pt idx="4">
                  <c:v>2026-08-26</c:v>
                </c:pt>
                <c:pt idx="5">
                  <c:v>2026-08-27</c:v>
                </c:pt>
                <c:pt idx="6">
                  <c:v>2026-08-28</c:v>
                </c:pt>
                <c:pt idx="7">
                  <c:v>2026-08-29</c:v>
                </c:pt>
                <c:pt idx="8">
                  <c:v>2026-08-30</c:v>
                </c:pt>
                <c:pt idx="9">
                  <c:v>2026-08-31</c:v>
                </c:pt>
                <c:pt idx="10">
                  <c:v>2026-09-01</c:v>
                </c:pt>
                <c:pt idx="11">
                  <c:v>2026-09-02</c:v>
                </c:pt>
                <c:pt idx="12">
                  <c:v>2026-09-03</c:v>
                </c:pt>
                <c:pt idx="13">
                  <c:v>2026-09-04</c:v>
                </c:pt>
                <c:pt idx="14">
                  <c:v>2026-09-05</c:v>
                </c:pt>
                <c:pt idx="15">
                  <c:v>2026-09-06</c:v>
                </c:pt>
                <c:pt idx="16">
                  <c:v>2026-09-07</c:v>
                </c:pt>
                <c:pt idx="17">
                  <c:v>2026-09-08</c:v>
                </c:pt>
                <c:pt idx="18">
                  <c:v>2026-09-09</c:v>
                </c:pt>
                <c:pt idx="19">
                  <c:v>2026-09-10</c:v>
                </c:pt>
                <c:pt idx="20">
                  <c:v>2026-09-11</c:v>
                </c:pt>
                <c:pt idx="21">
                  <c:v>2026-09-12</c:v>
                </c:pt>
                <c:pt idx="22">
                  <c:v>2026-09-13</c:v>
                </c:pt>
                <c:pt idx="23">
                  <c:v>2026-09-14</c:v>
                </c:pt>
                <c:pt idx="24">
                  <c:v>2026-09-15</c:v>
                </c:pt>
                <c:pt idx="25">
                  <c:v>2026-09-16</c:v>
                </c:pt>
                <c:pt idx="26">
                  <c:v>2026-09-17</c:v>
                </c:pt>
                <c:pt idx="27">
                  <c:v>2026-09-18</c:v>
                </c:pt>
                <c:pt idx="28">
                  <c:v>2026-09-19</c:v>
                </c:pt>
                <c:pt idx="29">
                  <c:v>2026-09-20</c:v>
                </c:pt>
                <c:pt idx="30">
                  <c:v>2026-09-21</c:v>
                </c:pt>
                <c:pt idx="31">
                  <c:v>2026-09-22</c:v>
                </c:pt>
                <c:pt idx="32">
                  <c:v>2026-09-23</c:v>
                </c:pt>
                <c:pt idx="33">
                  <c:v>2026-09-24</c:v>
                </c:pt>
                <c:pt idx="34">
                  <c:v>2026-09-25</c:v>
                </c:pt>
                <c:pt idx="35">
                  <c:v>2026-09-26</c:v>
                </c:pt>
                <c:pt idx="36">
                  <c:v>2026-09-27</c:v>
                </c:pt>
                <c:pt idx="37">
                  <c:v>2026-09-28</c:v>
                </c:pt>
                <c:pt idx="38">
                  <c:v>2026-09-29</c:v>
                </c:pt>
                <c:pt idx="39">
                  <c:v>2026-09-30</c:v>
                </c:pt>
                <c:pt idx="40">
                  <c:v>2026-10-01</c:v>
                </c:pt>
                <c:pt idx="41">
                  <c:v>2026-10-02</c:v>
                </c:pt>
                <c:pt idx="42">
                  <c:v>2026-10-03</c:v>
                </c:pt>
                <c:pt idx="43">
                  <c:v>2026-10-04</c:v>
                </c:pt>
                <c:pt idx="44">
                  <c:v>2026-10-05</c:v>
                </c:pt>
                <c:pt idx="45">
                  <c:v>2026-10-06</c:v>
                </c:pt>
                <c:pt idx="46">
                  <c:v>2026-10-07</c:v>
                </c:pt>
                <c:pt idx="47">
                  <c:v>2026-10-08</c:v>
                </c:pt>
                <c:pt idx="48">
                  <c:v>2026-10-09</c:v>
                </c:pt>
                <c:pt idx="49">
                  <c:v>2026-10-10</c:v>
                </c:pt>
                <c:pt idx="50">
                  <c:v>2026-10-11</c:v>
                </c:pt>
                <c:pt idx="51">
                  <c:v>2026-10-12</c:v>
                </c:pt>
                <c:pt idx="52">
                  <c:v>2026-10-13</c:v>
                </c:pt>
                <c:pt idx="53">
                  <c:v>2026-10-14</c:v>
                </c:pt>
                <c:pt idx="54">
                  <c:v>2026-10-15</c:v>
                </c:pt>
                <c:pt idx="55">
                  <c:v>2026-10-16</c:v>
                </c:pt>
                <c:pt idx="56">
                  <c:v>2026-10-17</c:v>
                </c:pt>
                <c:pt idx="57">
                  <c:v>2026-10-18</c:v>
                </c:pt>
                <c:pt idx="58">
                  <c:v>2026-10-19</c:v>
                </c:pt>
                <c:pt idx="59">
                  <c:v>2026-10-20</c:v>
                </c:pt>
                <c:pt idx="60">
                  <c:v>2026-10-21</c:v>
                </c:pt>
                <c:pt idx="61">
                  <c:v>2026-10-22</c:v>
                </c:pt>
                <c:pt idx="62">
                  <c:v>2026-10-23</c:v>
                </c:pt>
                <c:pt idx="63">
                  <c:v>2026-10-24</c:v>
                </c:pt>
                <c:pt idx="64">
                  <c:v>2026-10-25</c:v>
                </c:pt>
                <c:pt idx="65">
                  <c:v>2026-10-26</c:v>
                </c:pt>
                <c:pt idx="66">
                  <c:v>2026-10-27</c:v>
                </c:pt>
                <c:pt idx="67">
                  <c:v>2026-10-28</c:v>
                </c:pt>
                <c:pt idx="68">
                  <c:v>2026-10-29</c:v>
                </c:pt>
                <c:pt idx="69">
                  <c:v>2026-10-30</c:v>
                </c:pt>
                <c:pt idx="70">
                  <c:v>2026-10-31</c:v>
                </c:pt>
                <c:pt idx="71">
                  <c:v>2026-11-01</c:v>
                </c:pt>
                <c:pt idx="72">
                  <c:v>2026-11-02</c:v>
                </c:pt>
                <c:pt idx="73">
                  <c:v>2026-11-03</c:v>
                </c:pt>
                <c:pt idx="74">
                  <c:v>2026-11-04</c:v>
                </c:pt>
                <c:pt idx="75">
                  <c:v>2026-11-05</c:v>
                </c:pt>
                <c:pt idx="76">
                  <c:v>2026-11-06</c:v>
                </c:pt>
                <c:pt idx="77">
                  <c:v>2026-11-07</c:v>
                </c:pt>
                <c:pt idx="78">
                  <c:v>2026-11-08</c:v>
                </c:pt>
                <c:pt idx="79">
                  <c:v>2026-11-09</c:v>
                </c:pt>
                <c:pt idx="80">
                  <c:v>2026-11-10</c:v>
                </c:pt>
                <c:pt idx="81">
                  <c:v>2026-11-11</c:v>
                </c:pt>
                <c:pt idx="82">
                  <c:v>2026-11-12</c:v>
                </c:pt>
                <c:pt idx="83">
                  <c:v>2026-11-13</c:v>
                </c:pt>
                <c:pt idx="84">
                  <c:v>2026-11-14</c:v>
                </c:pt>
                <c:pt idx="85">
                  <c:v>2026-11-15</c:v>
                </c:pt>
                <c:pt idx="86">
                  <c:v>2026-11-16</c:v>
                </c:pt>
                <c:pt idx="87">
                  <c:v>2026-11-17</c:v>
                </c:pt>
                <c:pt idx="88">
                  <c:v>2026-11-18</c:v>
                </c:pt>
                <c:pt idx="89">
                  <c:v>2026-11-19</c:v>
                </c:pt>
                <c:pt idx="90">
                  <c:v>2026-11-20</c:v>
                </c:pt>
                <c:pt idx="91">
                  <c:v>2026-11-21</c:v>
                </c:pt>
                <c:pt idx="92">
                  <c:v>2026-11-22</c:v>
                </c:pt>
                <c:pt idx="93">
                  <c:v>2026-11-23</c:v>
                </c:pt>
                <c:pt idx="94">
                  <c:v>2026-11-24</c:v>
                </c:pt>
                <c:pt idx="95">
                  <c:v>2026-11-25</c:v>
                </c:pt>
                <c:pt idx="96">
                  <c:v>2026-11-26</c:v>
                </c:pt>
                <c:pt idx="97">
                  <c:v>2026-11-27</c:v>
                </c:pt>
                <c:pt idx="98">
                  <c:v>2026-11-28</c:v>
                </c:pt>
                <c:pt idx="99">
                  <c:v>2026-11-29</c:v>
                </c:pt>
                <c:pt idx="100">
                  <c:v>2026-11-30</c:v>
                </c:pt>
                <c:pt idx="101">
                  <c:v>2026-12-01</c:v>
                </c:pt>
                <c:pt idx="102">
                  <c:v>2026-12-02</c:v>
                </c:pt>
                <c:pt idx="103">
                  <c:v>2026-12-03</c:v>
                </c:pt>
                <c:pt idx="104">
                  <c:v>2026-12-04</c:v>
                </c:pt>
                <c:pt idx="105">
                  <c:v>2026-12-05</c:v>
                </c:pt>
                <c:pt idx="106">
                  <c:v>2026-12-06</c:v>
                </c:pt>
                <c:pt idx="107">
                  <c:v>2026-12-07</c:v>
                </c:pt>
                <c:pt idx="108">
                  <c:v>2026-12-08</c:v>
                </c:pt>
                <c:pt idx="109">
                  <c:v>2026-12-09</c:v>
                </c:pt>
                <c:pt idx="110">
                  <c:v>2026-12-10</c:v>
                </c:pt>
                <c:pt idx="111">
                  <c:v>2026-12-11</c:v>
                </c:pt>
                <c:pt idx="112">
                  <c:v>2026-12-12</c:v>
                </c:pt>
                <c:pt idx="113">
                  <c:v>2026-12-13</c:v>
                </c:pt>
                <c:pt idx="114">
                  <c:v>2026-12-14</c:v>
                </c:pt>
                <c:pt idx="115">
                  <c:v>2026-12-15</c:v>
                </c:pt>
                <c:pt idx="116">
                  <c:v>2026-12-16</c:v>
                </c:pt>
                <c:pt idx="117">
                  <c:v>2026-12-17</c:v>
                </c:pt>
                <c:pt idx="118">
                  <c:v>2026-12-18</c:v>
                </c:pt>
                <c:pt idx="119">
                  <c:v>2026-12-19</c:v>
                </c:pt>
                <c:pt idx="120">
                  <c:v>2026-12-20</c:v>
                </c:pt>
                <c:pt idx="121">
                  <c:v>2026-12-21</c:v>
                </c:pt>
                <c:pt idx="122">
                  <c:v>2026-12-22</c:v>
                </c:pt>
                <c:pt idx="123">
                  <c:v>2026-12-23</c:v>
                </c:pt>
                <c:pt idx="124">
                  <c:v>2026-12-24</c:v>
                </c:pt>
                <c:pt idx="125">
                  <c:v>2026-12-25</c:v>
                </c:pt>
                <c:pt idx="126">
                  <c:v>2026-12-26</c:v>
                </c:pt>
                <c:pt idx="127">
                  <c:v>2026-12-27</c:v>
                </c:pt>
                <c:pt idx="128">
                  <c:v>2026-12-28</c:v>
                </c:pt>
                <c:pt idx="129">
                  <c:v>2026-12-29</c:v>
                </c:pt>
                <c:pt idx="130">
                  <c:v>2026-12-30</c:v>
                </c:pt>
                <c:pt idx="131">
                  <c:v>2026-12-31</c:v>
                </c:pt>
                <c:pt idx="132">
                  <c:v>2027-01-01</c:v>
                </c:pt>
                <c:pt idx="133">
                  <c:v>2027-01-02</c:v>
                </c:pt>
                <c:pt idx="134">
                  <c:v>2027-01-03</c:v>
                </c:pt>
                <c:pt idx="135">
                  <c:v>2027-01-04</c:v>
                </c:pt>
                <c:pt idx="136">
                  <c:v>2027-01-05</c:v>
                </c:pt>
                <c:pt idx="137">
                  <c:v>2027-01-06</c:v>
                </c:pt>
                <c:pt idx="138">
                  <c:v>2027-01-07</c:v>
                </c:pt>
                <c:pt idx="139">
                  <c:v>2027-01-08</c:v>
                </c:pt>
                <c:pt idx="140">
                  <c:v>2027-01-09</c:v>
                </c:pt>
                <c:pt idx="141">
                  <c:v>2027-01-10</c:v>
                </c:pt>
                <c:pt idx="142">
                  <c:v>2027-01-11</c:v>
                </c:pt>
                <c:pt idx="143">
                  <c:v>2027-01-12</c:v>
                </c:pt>
                <c:pt idx="144">
                  <c:v>2027-01-13</c:v>
                </c:pt>
                <c:pt idx="145">
                  <c:v>2027-01-14</c:v>
                </c:pt>
                <c:pt idx="146">
                  <c:v>2027-01-15</c:v>
                </c:pt>
                <c:pt idx="147">
                  <c:v>2027-01-16</c:v>
                </c:pt>
                <c:pt idx="148">
                  <c:v>2027-01-17</c:v>
                </c:pt>
                <c:pt idx="149">
                  <c:v>2027-01-18</c:v>
                </c:pt>
                <c:pt idx="150">
                  <c:v>2027-01-19</c:v>
                </c:pt>
                <c:pt idx="151">
                  <c:v>2027-01-20</c:v>
                </c:pt>
                <c:pt idx="152">
                  <c:v>2027-01-21</c:v>
                </c:pt>
                <c:pt idx="153">
                  <c:v>2027-01-22</c:v>
                </c:pt>
                <c:pt idx="154">
                  <c:v>2027-01-23</c:v>
                </c:pt>
                <c:pt idx="155">
                  <c:v>2027-01-24</c:v>
                </c:pt>
                <c:pt idx="156">
                  <c:v>2027-01-25</c:v>
                </c:pt>
                <c:pt idx="157">
                  <c:v>2027-01-26</c:v>
                </c:pt>
                <c:pt idx="158">
                  <c:v>2027-01-27</c:v>
                </c:pt>
                <c:pt idx="159">
                  <c:v>2027-01-28</c:v>
                </c:pt>
                <c:pt idx="160">
                  <c:v>2027-01-29</c:v>
                </c:pt>
                <c:pt idx="161">
                  <c:v>2027-01-30</c:v>
                </c:pt>
                <c:pt idx="162">
                  <c:v>2027-01-31</c:v>
                </c:pt>
                <c:pt idx="163">
                  <c:v>2027-02-01</c:v>
                </c:pt>
                <c:pt idx="164">
                  <c:v>2027-02-02</c:v>
                </c:pt>
                <c:pt idx="165">
                  <c:v>2027-02-03</c:v>
                </c:pt>
                <c:pt idx="166">
                  <c:v>2027-02-04</c:v>
                </c:pt>
                <c:pt idx="167">
                  <c:v>2027-02-05</c:v>
                </c:pt>
                <c:pt idx="168">
                  <c:v>2027-02-06</c:v>
                </c:pt>
                <c:pt idx="169">
                  <c:v>2027-02-07</c:v>
                </c:pt>
                <c:pt idx="170">
                  <c:v>2027-02-08</c:v>
                </c:pt>
                <c:pt idx="171">
                  <c:v>2027-02-09</c:v>
                </c:pt>
                <c:pt idx="172">
                  <c:v>2027-02-10</c:v>
                </c:pt>
                <c:pt idx="173">
                  <c:v>2027-02-11</c:v>
                </c:pt>
                <c:pt idx="174">
                  <c:v>2027-02-12</c:v>
                </c:pt>
                <c:pt idx="175">
                  <c:v>2027-02-13</c:v>
                </c:pt>
                <c:pt idx="176">
                  <c:v>2027-02-14</c:v>
                </c:pt>
                <c:pt idx="177">
                  <c:v>2027-02-15</c:v>
                </c:pt>
                <c:pt idx="178">
                  <c:v>2027-02-16</c:v>
                </c:pt>
                <c:pt idx="179">
                  <c:v>2027-02-17</c:v>
                </c:pt>
                <c:pt idx="180">
                  <c:v>2027-02-18</c:v>
                </c:pt>
                <c:pt idx="181">
                  <c:v>2027-02-19</c:v>
                </c:pt>
                <c:pt idx="182">
                  <c:v>2027-02-20</c:v>
                </c:pt>
                <c:pt idx="183">
                  <c:v>2027-02-21</c:v>
                </c:pt>
              </c:strCache>
            </c:strRef>
          </c:cat>
          <c:val>
            <c:numRef>
              <c:f>日別データ!$C$5:$C$188</c:f>
              <c:numCache>
                <c:formatCode>#,##0</c:formatCode>
                <c:ptCount val="184"/>
                <c:pt idx="0">
                  <c:v>202</c:v>
                </c:pt>
                <c:pt idx="1">
                  <c:v>405</c:v>
                </c:pt>
                <c:pt idx="2">
                  <c:v>436</c:v>
                </c:pt>
                <c:pt idx="3">
                  <c:v>473</c:v>
                </c:pt>
                <c:pt idx="4">
                  <c:v>482</c:v>
                </c:pt>
                <c:pt idx="5">
                  <c:v>494</c:v>
                </c:pt>
                <c:pt idx="6">
                  <c:v>459</c:v>
                </c:pt>
                <c:pt idx="7">
                  <c:v>420</c:v>
                </c:pt>
                <c:pt idx="8">
                  <c:v>498</c:v>
                </c:pt>
                <c:pt idx="9">
                  <c:v>563</c:v>
                </c:pt>
                <c:pt idx="10">
                  <c:v>522</c:v>
                </c:pt>
                <c:pt idx="11">
                  <c:v>484</c:v>
                </c:pt>
                <c:pt idx="12">
                  <c:v>460</c:v>
                </c:pt>
                <c:pt idx="13">
                  <c:v>400</c:v>
                </c:pt>
                <c:pt idx="14">
                  <c:v>372</c:v>
                </c:pt>
                <c:pt idx="15">
                  <c:v>438</c:v>
                </c:pt>
                <c:pt idx="16">
                  <c:v>453</c:v>
                </c:pt>
                <c:pt idx="17">
                  <c:v>473</c:v>
                </c:pt>
                <c:pt idx="18">
                  <c:v>496</c:v>
                </c:pt>
                <c:pt idx="19">
                  <c:v>468</c:v>
                </c:pt>
                <c:pt idx="20">
                  <c:v>447</c:v>
                </c:pt>
                <c:pt idx="21">
                  <c:v>399</c:v>
                </c:pt>
                <c:pt idx="22">
                  <c:v>479</c:v>
                </c:pt>
                <c:pt idx="23">
                  <c:v>489</c:v>
                </c:pt>
                <c:pt idx="24">
                  <c:v>525</c:v>
                </c:pt>
                <c:pt idx="25">
                  <c:v>513</c:v>
                </c:pt>
                <c:pt idx="26">
                  <c:v>464</c:v>
                </c:pt>
                <c:pt idx="27">
                  <c:v>399</c:v>
                </c:pt>
                <c:pt idx="28">
                  <c:v>244</c:v>
                </c:pt>
                <c:pt idx="29">
                  <c:v>199</c:v>
                </c:pt>
                <c:pt idx="30">
                  <c:v>257</c:v>
                </c:pt>
                <c:pt idx="31">
                  <c:v>332</c:v>
                </c:pt>
                <c:pt idx="32">
                  <c:v>428</c:v>
                </c:pt>
                <c:pt idx="33">
                  <c:v>421</c:v>
                </c:pt>
                <c:pt idx="34">
                  <c:v>407</c:v>
                </c:pt>
                <c:pt idx="35">
                  <c:v>382</c:v>
                </c:pt>
                <c:pt idx="36">
                  <c:v>454</c:v>
                </c:pt>
                <c:pt idx="37">
                  <c:v>462</c:v>
                </c:pt>
                <c:pt idx="38">
                  <c:v>454</c:v>
                </c:pt>
                <c:pt idx="39">
                  <c:v>439</c:v>
                </c:pt>
                <c:pt idx="40">
                  <c:v>365</c:v>
                </c:pt>
                <c:pt idx="41">
                  <c:v>308</c:v>
                </c:pt>
                <c:pt idx="42">
                  <c:v>264</c:v>
                </c:pt>
                <c:pt idx="43">
                  <c:v>304</c:v>
                </c:pt>
                <c:pt idx="44">
                  <c:v>313</c:v>
                </c:pt>
                <c:pt idx="45">
                  <c:v>334</c:v>
                </c:pt>
                <c:pt idx="46">
                  <c:v>335</c:v>
                </c:pt>
                <c:pt idx="47">
                  <c:v>300</c:v>
                </c:pt>
                <c:pt idx="48">
                  <c:v>303</c:v>
                </c:pt>
                <c:pt idx="49">
                  <c:v>222</c:v>
                </c:pt>
                <c:pt idx="50">
                  <c:v>260</c:v>
                </c:pt>
                <c:pt idx="51">
                  <c:v>336</c:v>
                </c:pt>
                <c:pt idx="52">
                  <c:v>344</c:v>
                </c:pt>
                <c:pt idx="53">
                  <c:v>365</c:v>
                </c:pt>
                <c:pt idx="54">
                  <c:v>318</c:v>
                </c:pt>
                <c:pt idx="55">
                  <c:v>303</c:v>
                </c:pt>
                <c:pt idx="56">
                  <c:v>281</c:v>
                </c:pt>
                <c:pt idx="57">
                  <c:v>328</c:v>
                </c:pt>
                <c:pt idx="58">
                  <c:v>332</c:v>
                </c:pt>
                <c:pt idx="59">
                  <c:v>358</c:v>
                </c:pt>
                <c:pt idx="60">
                  <c:v>338</c:v>
                </c:pt>
                <c:pt idx="61">
                  <c:v>333</c:v>
                </c:pt>
                <c:pt idx="62">
                  <c:v>317</c:v>
                </c:pt>
                <c:pt idx="63">
                  <c:v>299</c:v>
                </c:pt>
                <c:pt idx="64">
                  <c:v>339</c:v>
                </c:pt>
                <c:pt idx="65">
                  <c:v>344</c:v>
                </c:pt>
                <c:pt idx="66">
                  <c:v>378</c:v>
                </c:pt>
                <c:pt idx="67">
                  <c:v>376</c:v>
                </c:pt>
                <c:pt idx="68">
                  <c:v>358</c:v>
                </c:pt>
                <c:pt idx="69">
                  <c:v>335</c:v>
                </c:pt>
                <c:pt idx="70">
                  <c:v>319</c:v>
                </c:pt>
                <c:pt idx="71">
                  <c:v>367</c:v>
                </c:pt>
                <c:pt idx="72">
                  <c:v>402</c:v>
                </c:pt>
                <c:pt idx="73">
                  <c:v>396</c:v>
                </c:pt>
                <c:pt idx="74">
                  <c:v>402</c:v>
                </c:pt>
                <c:pt idx="75">
                  <c:v>403</c:v>
                </c:pt>
                <c:pt idx="76">
                  <c:v>376</c:v>
                </c:pt>
                <c:pt idx="77">
                  <c:v>355</c:v>
                </c:pt>
                <c:pt idx="78">
                  <c:v>389</c:v>
                </c:pt>
                <c:pt idx="79">
                  <c:v>406</c:v>
                </c:pt>
                <c:pt idx="80">
                  <c:v>441</c:v>
                </c:pt>
                <c:pt idx="81">
                  <c:v>434</c:v>
                </c:pt>
                <c:pt idx="82">
                  <c:v>399</c:v>
                </c:pt>
                <c:pt idx="83">
                  <c:v>390</c:v>
                </c:pt>
                <c:pt idx="84">
                  <c:v>382</c:v>
                </c:pt>
                <c:pt idx="85">
                  <c:v>423</c:v>
                </c:pt>
                <c:pt idx="86">
                  <c:v>444</c:v>
                </c:pt>
                <c:pt idx="87">
                  <c:v>463</c:v>
                </c:pt>
                <c:pt idx="88">
                  <c:v>445</c:v>
                </c:pt>
                <c:pt idx="89">
                  <c:v>410</c:v>
                </c:pt>
                <c:pt idx="90">
                  <c:v>372</c:v>
                </c:pt>
                <c:pt idx="91">
                  <c:v>305</c:v>
                </c:pt>
                <c:pt idx="92">
                  <c:v>340</c:v>
                </c:pt>
                <c:pt idx="93">
                  <c:v>394</c:v>
                </c:pt>
                <c:pt idx="94">
                  <c:v>414</c:v>
                </c:pt>
                <c:pt idx="95">
                  <c:v>420</c:v>
                </c:pt>
                <c:pt idx="96">
                  <c:v>421</c:v>
                </c:pt>
                <c:pt idx="97">
                  <c:v>396</c:v>
                </c:pt>
                <c:pt idx="98">
                  <c:v>384</c:v>
                </c:pt>
                <c:pt idx="99">
                  <c:v>443</c:v>
                </c:pt>
                <c:pt idx="100">
                  <c:v>484</c:v>
                </c:pt>
                <c:pt idx="101">
                  <c:v>486</c:v>
                </c:pt>
                <c:pt idx="102">
                  <c:v>484</c:v>
                </c:pt>
                <c:pt idx="103">
                  <c:v>477</c:v>
                </c:pt>
                <c:pt idx="104">
                  <c:v>475</c:v>
                </c:pt>
                <c:pt idx="105">
                  <c:v>488</c:v>
                </c:pt>
                <c:pt idx="106">
                  <c:v>515</c:v>
                </c:pt>
                <c:pt idx="107">
                  <c:v>524</c:v>
                </c:pt>
                <c:pt idx="108">
                  <c:v>518</c:v>
                </c:pt>
                <c:pt idx="109">
                  <c:v>507</c:v>
                </c:pt>
                <c:pt idx="110">
                  <c:v>493</c:v>
                </c:pt>
                <c:pt idx="111">
                  <c:v>490</c:v>
                </c:pt>
                <c:pt idx="112">
                  <c:v>477</c:v>
                </c:pt>
                <c:pt idx="113">
                  <c:v>510</c:v>
                </c:pt>
                <c:pt idx="114">
                  <c:v>508</c:v>
                </c:pt>
                <c:pt idx="115">
                  <c:v>510</c:v>
                </c:pt>
                <c:pt idx="116">
                  <c:v>503</c:v>
                </c:pt>
                <c:pt idx="117">
                  <c:v>505</c:v>
                </c:pt>
                <c:pt idx="118">
                  <c:v>491</c:v>
                </c:pt>
                <c:pt idx="119">
                  <c:v>454</c:v>
                </c:pt>
                <c:pt idx="120">
                  <c:v>464</c:v>
                </c:pt>
                <c:pt idx="121">
                  <c:v>465</c:v>
                </c:pt>
                <c:pt idx="122">
                  <c:v>465</c:v>
                </c:pt>
                <c:pt idx="123">
                  <c:v>451</c:v>
                </c:pt>
                <c:pt idx="124">
                  <c:v>439</c:v>
                </c:pt>
                <c:pt idx="125">
                  <c:v>403</c:v>
                </c:pt>
                <c:pt idx="126">
                  <c:v>381</c:v>
                </c:pt>
                <c:pt idx="127">
                  <c:v>369</c:v>
                </c:pt>
                <c:pt idx="128">
                  <c:v>352</c:v>
                </c:pt>
                <c:pt idx="129">
                  <c:v>328</c:v>
                </c:pt>
                <c:pt idx="130">
                  <c:v>319</c:v>
                </c:pt>
                <c:pt idx="131">
                  <c:v>306</c:v>
                </c:pt>
                <c:pt idx="132">
                  <c:v>337</c:v>
                </c:pt>
                <c:pt idx="133">
                  <c:v>407</c:v>
                </c:pt>
                <c:pt idx="134">
                  <c:v>482</c:v>
                </c:pt>
                <c:pt idx="135">
                  <c:v>530</c:v>
                </c:pt>
                <c:pt idx="136">
                  <c:v>552</c:v>
                </c:pt>
                <c:pt idx="137">
                  <c:v>547</c:v>
                </c:pt>
                <c:pt idx="138">
                  <c:v>539</c:v>
                </c:pt>
                <c:pt idx="139">
                  <c:v>525</c:v>
                </c:pt>
                <c:pt idx="140">
                  <c:v>525</c:v>
                </c:pt>
                <c:pt idx="141">
                  <c:v>542</c:v>
                </c:pt>
                <c:pt idx="142">
                  <c:v>563</c:v>
                </c:pt>
                <c:pt idx="143">
                  <c:v>565</c:v>
                </c:pt>
                <c:pt idx="144">
                  <c:v>573</c:v>
                </c:pt>
                <c:pt idx="145">
                  <c:v>576</c:v>
                </c:pt>
                <c:pt idx="146">
                  <c:v>549</c:v>
                </c:pt>
                <c:pt idx="147">
                  <c:v>543</c:v>
                </c:pt>
                <c:pt idx="148">
                  <c:v>580</c:v>
                </c:pt>
                <c:pt idx="149">
                  <c:v>590</c:v>
                </c:pt>
                <c:pt idx="150">
                  <c:v>585</c:v>
                </c:pt>
                <c:pt idx="151">
                  <c:v>593</c:v>
                </c:pt>
                <c:pt idx="152">
                  <c:v>580</c:v>
                </c:pt>
                <c:pt idx="153">
                  <c:v>564</c:v>
                </c:pt>
                <c:pt idx="154">
                  <c:v>565</c:v>
                </c:pt>
                <c:pt idx="155">
                  <c:v>591</c:v>
                </c:pt>
                <c:pt idx="156">
                  <c:v>592</c:v>
                </c:pt>
                <c:pt idx="157">
                  <c:v>588</c:v>
                </c:pt>
                <c:pt idx="158">
                  <c:v>589</c:v>
                </c:pt>
                <c:pt idx="159">
                  <c:v>591</c:v>
                </c:pt>
                <c:pt idx="160">
                  <c:v>584</c:v>
                </c:pt>
                <c:pt idx="161">
                  <c:v>576</c:v>
                </c:pt>
                <c:pt idx="162">
                  <c:v>611</c:v>
                </c:pt>
                <c:pt idx="163">
                  <c:v>620</c:v>
                </c:pt>
                <c:pt idx="164">
                  <c:v>609</c:v>
                </c:pt>
                <c:pt idx="165">
                  <c:v>608</c:v>
                </c:pt>
                <c:pt idx="166">
                  <c:v>605</c:v>
                </c:pt>
                <c:pt idx="167">
                  <c:v>578</c:v>
                </c:pt>
                <c:pt idx="168">
                  <c:v>558</c:v>
                </c:pt>
                <c:pt idx="169">
                  <c:v>577</c:v>
                </c:pt>
                <c:pt idx="170">
                  <c:v>575</c:v>
                </c:pt>
                <c:pt idx="171">
                  <c:v>593</c:v>
                </c:pt>
                <c:pt idx="172">
                  <c:v>596</c:v>
                </c:pt>
                <c:pt idx="173">
                  <c:v>585</c:v>
                </c:pt>
                <c:pt idx="174">
                  <c:v>574</c:v>
                </c:pt>
                <c:pt idx="175">
                  <c:v>572</c:v>
                </c:pt>
                <c:pt idx="176">
                  <c:v>609</c:v>
                </c:pt>
                <c:pt idx="177">
                  <c:v>613</c:v>
                </c:pt>
                <c:pt idx="178">
                  <c:v>604</c:v>
                </c:pt>
                <c:pt idx="179">
                  <c:v>595</c:v>
                </c:pt>
                <c:pt idx="180">
                  <c:v>520</c:v>
                </c:pt>
                <c:pt idx="181">
                  <c:v>500</c:v>
                </c:pt>
                <c:pt idx="182">
                  <c:v>499</c:v>
                </c:pt>
                <c:pt idx="183">
                  <c:v>525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391061"/>
        <c:axId val="60398078"/>
      </c:lineChart>
      <c:catAx>
        <c:axId val="80391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398078"/>
        <c:crosses val="autoZero"/>
        <c:auto val="1"/>
        <c:lblAlgn val="ctr"/>
        <c:lblOffset val="100"/>
        <c:noMultiLvlLbl val="0"/>
      </c:catAx>
      <c:valAx>
        <c:axId val="60398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在庫件数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3910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23</xdr:col>
      <xdr:colOff>404280</xdr:colOff>
      <xdr:row>21</xdr:row>
      <xdr:rowOff>170640</xdr:rowOff>
    </xdr:to>
    <xdr:graphicFrame>
      <xdr:nvGraphicFramePr>
        <xdr:cNvPr id="1" name="Chart 1"/>
        <xdr:cNvGraphicFramePr/>
      </xdr:nvGraphicFramePr>
      <xdr:xfrm>
        <a:off x="4629240" y="65520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46256</v>
      </c>
      <c r="B5" s="5" t="s">
        <v>7</v>
      </c>
      <c r="C5" s="6" t="n">
        <v>202</v>
      </c>
      <c r="D5" s="5" t="n">
        <v>0</v>
      </c>
      <c r="E5" s="7" t="s">
        <v>8</v>
      </c>
    </row>
    <row r="6" customFormat="false" ht="15" hidden="false" customHeight="false" outlineLevel="0" collapsed="false">
      <c r="A6" s="4" t="n">
        <v>46257</v>
      </c>
      <c r="B6" s="5" t="s">
        <v>9</v>
      </c>
      <c r="C6" s="6" t="n">
        <v>405</v>
      </c>
      <c r="D6" s="7" t="n">
        <v>1</v>
      </c>
      <c r="E6" s="7" t="s">
        <v>8</v>
      </c>
    </row>
    <row r="7" customFormat="false" ht="15" hidden="false" customHeight="false" outlineLevel="0" collapsed="false">
      <c r="A7" s="4" t="n">
        <v>46258</v>
      </c>
      <c r="B7" s="5" t="s">
        <v>6</v>
      </c>
      <c r="C7" s="6" t="n">
        <v>436</v>
      </c>
      <c r="D7" s="7" t="n">
        <v>2</v>
      </c>
      <c r="E7" s="7" t="s">
        <v>8</v>
      </c>
    </row>
    <row r="8" customFormat="false" ht="15" hidden="false" customHeight="false" outlineLevel="0" collapsed="false">
      <c r="A8" s="4" t="n">
        <v>46259</v>
      </c>
      <c r="B8" s="5" t="s">
        <v>10</v>
      </c>
      <c r="C8" s="6" t="n">
        <v>473</v>
      </c>
      <c r="D8" s="7" t="n">
        <v>3</v>
      </c>
      <c r="E8" s="7" t="s">
        <v>8</v>
      </c>
    </row>
    <row r="9" customFormat="false" ht="15" hidden="false" customHeight="false" outlineLevel="0" collapsed="false">
      <c r="A9" s="4" t="n">
        <v>46260</v>
      </c>
      <c r="B9" s="5" t="s">
        <v>11</v>
      </c>
      <c r="C9" s="6" t="n">
        <v>482</v>
      </c>
      <c r="D9" s="7" t="n">
        <v>4</v>
      </c>
      <c r="E9" s="7" t="s">
        <v>8</v>
      </c>
    </row>
    <row r="10" customFormat="false" ht="15" hidden="false" customHeight="false" outlineLevel="0" collapsed="false">
      <c r="A10" s="4" t="n">
        <v>46261</v>
      </c>
      <c r="B10" s="5" t="s">
        <v>12</v>
      </c>
      <c r="C10" s="6" t="n">
        <v>494</v>
      </c>
      <c r="D10" s="7" t="n">
        <v>5</v>
      </c>
      <c r="E10" s="7" t="s">
        <v>8</v>
      </c>
    </row>
    <row r="11" customFormat="false" ht="15" hidden="false" customHeight="false" outlineLevel="0" collapsed="false">
      <c r="A11" s="4" t="n">
        <v>46262</v>
      </c>
      <c r="B11" s="5" t="s">
        <v>13</v>
      </c>
      <c r="C11" s="6" t="n">
        <v>459</v>
      </c>
      <c r="D11" s="7" t="n">
        <v>6</v>
      </c>
      <c r="E11" s="7" t="s">
        <v>8</v>
      </c>
    </row>
    <row r="12" customFormat="false" ht="15" hidden="false" customHeight="false" outlineLevel="0" collapsed="false">
      <c r="A12" s="4" t="n">
        <v>46263</v>
      </c>
      <c r="B12" s="5" t="s">
        <v>7</v>
      </c>
      <c r="C12" s="6" t="n">
        <v>420</v>
      </c>
      <c r="D12" s="7" t="n">
        <v>7</v>
      </c>
      <c r="E12" s="7" t="s">
        <v>8</v>
      </c>
    </row>
    <row r="13" customFormat="false" ht="15" hidden="false" customHeight="false" outlineLevel="0" collapsed="false">
      <c r="A13" s="4" t="n">
        <v>46264</v>
      </c>
      <c r="B13" s="5" t="s">
        <v>9</v>
      </c>
      <c r="C13" s="6" t="n">
        <v>498</v>
      </c>
      <c r="D13" s="7" t="n">
        <v>8</v>
      </c>
      <c r="E13" s="7" t="s">
        <v>8</v>
      </c>
    </row>
    <row r="14" customFormat="false" ht="15" hidden="false" customHeight="false" outlineLevel="0" collapsed="false">
      <c r="A14" s="4" t="n">
        <v>46265</v>
      </c>
      <c r="B14" s="5" t="s">
        <v>6</v>
      </c>
      <c r="C14" s="6" t="n">
        <v>563</v>
      </c>
      <c r="D14" s="7" t="n">
        <v>9</v>
      </c>
      <c r="E14" s="7" t="s">
        <v>8</v>
      </c>
    </row>
    <row r="15" customFormat="false" ht="15" hidden="false" customHeight="false" outlineLevel="0" collapsed="false">
      <c r="A15" s="4" t="n">
        <v>46266</v>
      </c>
      <c r="B15" s="5" t="s">
        <v>10</v>
      </c>
      <c r="C15" s="6" t="n">
        <v>522</v>
      </c>
      <c r="D15" s="7" t="n">
        <v>10</v>
      </c>
      <c r="E15" s="7" t="s">
        <v>14</v>
      </c>
    </row>
    <row r="16" customFormat="false" ht="15" hidden="false" customHeight="false" outlineLevel="0" collapsed="false">
      <c r="A16" s="4" t="n">
        <v>46267</v>
      </c>
      <c r="B16" s="5" t="s">
        <v>11</v>
      </c>
      <c r="C16" s="6" t="n">
        <v>484</v>
      </c>
      <c r="D16" s="7" t="n">
        <v>11</v>
      </c>
      <c r="E16" s="7" t="s">
        <v>14</v>
      </c>
    </row>
    <row r="17" customFormat="false" ht="15" hidden="false" customHeight="false" outlineLevel="0" collapsed="false">
      <c r="A17" s="4" t="n">
        <v>46268</v>
      </c>
      <c r="B17" s="5" t="s">
        <v>12</v>
      </c>
      <c r="C17" s="6" t="n">
        <v>460</v>
      </c>
      <c r="D17" s="7" t="n">
        <v>12</v>
      </c>
      <c r="E17" s="7" t="s">
        <v>14</v>
      </c>
    </row>
    <row r="18" customFormat="false" ht="15" hidden="false" customHeight="false" outlineLevel="0" collapsed="false">
      <c r="A18" s="4" t="n">
        <v>46269</v>
      </c>
      <c r="B18" s="5" t="s">
        <v>13</v>
      </c>
      <c r="C18" s="6" t="n">
        <v>400</v>
      </c>
      <c r="D18" s="7" t="n">
        <v>13</v>
      </c>
      <c r="E18" s="7" t="s">
        <v>14</v>
      </c>
    </row>
    <row r="19" customFormat="false" ht="15" hidden="false" customHeight="false" outlineLevel="0" collapsed="false">
      <c r="A19" s="4" t="n">
        <v>46270</v>
      </c>
      <c r="B19" s="5" t="s">
        <v>7</v>
      </c>
      <c r="C19" s="6" t="n">
        <v>372</v>
      </c>
      <c r="D19" s="7" t="n">
        <v>14</v>
      </c>
      <c r="E19" s="7" t="s">
        <v>14</v>
      </c>
    </row>
    <row r="20" customFormat="false" ht="15" hidden="false" customHeight="false" outlineLevel="0" collapsed="false">
      <c r="A20" s="4" t="n">
        <v>46271</v>
      </c>
      <c r="B20" s="5" t="s">
        <v>9</v>
      </c>
      <c r="C20" s="6" t="n">
        <v>438</v>
      </c>
      <c r="D20" s="7" t="n">
        <v>15</v>
      </c>
      <c r="E20" s="7" t="s">
        <v>14</v>
      </c>
    </row>
    <row r="21" customFormat="false" ht="15" hidden="false" customHeight="false" outlineLevel="0" collapsed="false">
      <c r="A21" s="4" t="n">
        <v>46272</v>
      </c>
      <c r="B21" s="5" t="s">
        <v>6</v>
      </c>
      <c r="C21" s="6" t="n">
        <v>453</v>
      </c>
      <c r="D21" s="7" t="n">
        <v>16</v>
      </c>
      <c r="E21" s="7" t="s">
        <v>14</v>
      </c>
    </row>
    <row r="22" customFormat="false" ht="15" hidden="false" customHeight="false" outlineLevel="0" collapsed="false">
      <c r="A22" s="4" t="n">
        <v>46273</v>
      </c>
      <c r="B22" s="5" t="s">
        <v>10</v>
      </c>
      <c r="C22" s="6" t="n">
        <v>473</v>
      </c>
      <c r="D22" s="7" t="n">
        <v>17</v>
      </c>
      <c r="E22" s="7" t="s">
        <v>14</v>
      </c>
    </row>
    <row r="23" customFormat="false" ht="15" hidden="false" customHeight="false" outlineLevel="0" collapsed="false">
      <c r="A23" s="4" t="n">
        <v>46274</v>
      </c>
      <c r="B23" s="5" t="s">
        <v>11</v>
      </c>
      <c r="C23" s="6" t="n">
        <v>496</v>
      </c>
      <c r="D23" s="7" t="n">
        <v>18</v>
      </c>
      <c r="E23" s="7" t="s">
        <v>14</v>
      </c>
    </row>
    <row r="24" customFormat="false" ht="15" hidden="false" customHeight="false" outlineLevel="0" collapsed="false">
      <c r="A24" s="4" t="n">
        <v>46275</v>
      </c>
      <c r="B24" s="5" t="s">
        <v>12</v>
      </c>
      <c r="C24" s="6" t="n">
        <v>468</v>
      </c>
      <c r="D24" s="7" t="n">
        <v>19</v>
      </c>
      <c r="E24" s="7" t="s">
        <v>14</v>
      </c>
    </row>
    <row r="25" customFormat="false" ht="15" hidden="false" customHeight="false" outlineLevel="0" collapsed="false">
      <c r="A25" s="4" t="n">
        <v>46276</v>
      </c>
      <c r="B25" s="5" t="s">
        <v>13</v>
      </c>
      <c r="C25" s="6" t="n">
        <v>447</v>
      </c>
      <c r="D25" s="7" t="n">
        <v>20</v>
      </c>
      <c r="E25" s="7" t="s">
        <v>14</v>
      </c>
    </row>
    <row r="26" customFormat="false" ht="15" hidden="false" customHeight="false" outlineLevel="0" collapsed="false">
      <c r="A26" s="4" t="n">
        <v>46277</v>
      </c>
      <c r="B26" s="5" t="s">
        <v>7</v>
      </c>
      <c r="C26" s="6" t="n">
        <v>399</v>
      </c>
      <c r="D26" s="7" t="n">
        <v>21</v>
      </c>
      <c r="E26" s="7" t="s">
        <v>14</v>
      </c>
    </row>
    <row r="27" customFormat="false" ht="15" hidden="false" customHeight="false" outlineLevel="0" collapsed="false">
      <c r="A27" s="4" t="n">
        <v>46278</v>
      </c>
      <c r="B27" s="5" t="s">
        <v>9</v>
      </c>
      <c r="C27" s="6" t="n">
        <v>479</v>
      </c>
      <c r="D27" s="7" t="n">
        <v>22</v>
      </c>
      <c r="E27" s="7" t="s">
        <v>14</v>
      </c>
    </row>
    <row r="28" customFormat="false" ht="15" hidden="false" customHeight="false" outlineLevel="0" collapsed="false">
      <c r="A28" s="4" t="n">
        <v>46279</v>
      </c>
      <c r="B28" s="5" t="s">
        <v>6</v>
      </c>
      <c r="C28" s="6" t="n">
        <v>489</v>
      </c>
      <c r="D28" s="7" t="n">
        <v>23</v>
      </c>
      <c r="E28" s="7" t="s">
        <v>14</v>
      </c>
    </row>
    <row r="29" customFormat="false" ht="15" hidden="false" customHeight="false" outlineLevel="0" collapsed="false">
      <c r="A29" s="4" t="n">
        <v>46280</v>
      </c>
      <c r="B29" s="5" t="s">
        <v>10</v>
      </c>
      <c r="C29" s="6" t="n">
        <v>525</v>
      </c>
      <c r="D29" s="7" t="n">
        <v>24</v>
      </c>
      <c r="E29" s="7" t="s">
        <v>14</v>
      </c>
    </row>
    <row r="30" customFormat="false" ht="15" hidden="false" customHeight="false" outlineLevel="0" collapsed="false">
      <c r="A30" s="4" t="n">
        <v>46281</v>
      </c>
      <c r="B30" s="5" t="s">
        <v>11</v>
      </c>
      <c r="C30" s="6" t="n">
        <v>513</v>
      </c>
      <c r="D30" s="7" t="n">
        <v>25</v>
      </c>
      <c r="E30" s="7" t="s">
        <v>14</v>
      </c>
    </row>
    <row r="31" customFormat="false" ht="15" hidden="false" customHeight="false" outlineLevel="0" collapsed="false">
      <c r="A31" s="4" t="n">
        <v>46282</v>
      </c>
      <c r="B31" s="5" t="s">
        <v>12</v>
      </c>
      <c r="C31" s="6" t="n">
        <v>464</v>
      </c>
      <c r="D31" s="7" t="n">
        <v>26</v>
      </c>
      <c r="E31" s="7" t="s">
        <v>14</v>
      </c>
    </row>
    <row r="32" customFormat="false" ht="15" hidden="false" customHeight="false" outlineLevel="0" collapsed="false">
      <c r="A32" s="4" t="n">
        <v>46283</v>
      </c>
      <c r="B32" s="5" t="s">
        <v>13</v>
      </c>
      <c r="C32" s="6" t="n">
        <v>399</v>
      </c>
      <c r="D32" s="7" t="n">
        <v>27</v>
      </c>
      <c r="E32" s="7" t="s">
        <v>14</v>
      </c>
    </row>
    <row r="33" customFormat="false" ht="15" hidden="false" customHeight="false" outlineLevel="0" collapsed="false">
      <c r="A33" s="4" t="n">
        <v>46284</v>
      </c>
      <c r="B33" s="5" t="s">
        <v>7</v>
      </c>
      <c r="C33" s="6" t="n">
        <v>244</v>
      </c>
      <c r="D33" s="7" t="n">
        <v>28</v>
      </c>
      <c r="E33" s="7" t="s">
        <v>14</v>
      </c>
    </row>
    <row r="34" customFormat="false" ht="15" hidden="false" customHeight="false" outlineLevel="0" collapsed="false">
      <c r="A34" s="4" t="n">
        <v>46285</v>
      </c>
      <c r="B34" s="5" t="s">
        <v>9</v>
      </c>
      <c r="C34" s="6" t="n">
        <v>199</v>
      </c>
      <c r="D34" s="7" t="n">
        <v>29</v>
      </c>
      <c r="E34" s="7" t="s">
        <v>14</v>
      </c>
    </row>
    <row r="35" customFormat="false" ht="15" hidden="false" customHeight="false" outlineLevel="0" collapsed="false">
      <c r="A35" s="4" t="n">
        <v>46286</v>
      </c>
      <c r="B35" s="5" t="s">
        <v>6</v>
      </c>
      <c r="C35" s="6" t="n">
        <v>257</v>
      </c>
      <c r="D35" s="7" t="n">
        <v>30</v>
      </c>
      <c r="E35" s="7" t="s">
        <v>14</v>
      </c>
    </row>
    <row r="36" customFormat="false" ht="15" hidden="false" customHeight="false" outlineLevel="0" collapsed="false">
      <c r="A36" s="4" t="n">
        <v>46287</v>
      </c>
      <c r="B36" s="5" t="s">
        <v>10</v>
      </c>
      <c r="C36" s="6" t="n">
        <v>332</v>
      </c>
      <c r="D36" s="7" t="n">
        <v>31</v>
      </c>
      <c r="E36" s="7" t="s">
        <v>14</v>
      </c>
    </row>
    <row r="37" customFormat="false" ht="15" hidden="false" customHeight="false" outlineLevel="0" collapsed="false">
      <c r="A37" s="4" t="n">
        <v>46288</v>
      </c>
      <c r="B37" s="5" t="s">
        <v>11</v>
      </c>
      <c r="C37" s="6" t="n">
        <v>428</v>
      </c>
      <c r="D37" s="7" t="n">
        <v>32</v>
      </c>
      <c r="E37" s="7" t="s">
        <v>14</v>
      </c>
    </row>
    <row r="38" customFormat="false" ht="15" hidden="false" customHeight="false" outlineLevel="0" collapsed="false">
      <c r="A38" s="4" t="n">
        <v>46289</v>
      </c>
      <c r="B38" s="5" t="s">
        <v>12</v>
      </c>
      <c r="C38" s="6" t="n">
        <v>421</v>
      </c>
      <c r="D38" s="7" t="n">
        <v>33</v>
      </c>
      <c r="E38" s="7" t="s">
        <v>14</v>
      </c>
    </row>
    <row r="39" customFormat="false" ht="15" hidden="false" customHeight="false" outlineLevel="0" collapsed="false">
      <c r="A39" s="4" t="n">
        <v>46290</v>
      </c>
      <c r="B39" s="5" t="s">
        <v>13</v>
      </c>
      <c r="C39" s="6" t="n">
        <v>407</v>
      </c>
      <c r="D39" s="7" t="n">
        <v>34</v>
      </c>
      <c r="E39" s="7" t="s">
        <v>14</v>
      </c>
    </row>
    <row r="40" customFormat="false" ht="15" hidden="false" customHeight="false" outlineLevel="0" collapsed="false">
      <c r="A40" s="4" t="n">
        <v>46291</v>
      </c>
      <c r="B40" s="5" t="s">
        <v>7</v>
      </c>
      <c r="C40" s="6" t="n">
        <v>382</v>
      </c>
      <c r="D40" s="7" t="n">
        <v>35</v>
      </c>
      <c r="E40" s="7" t="s">
        <v>14</v>
      </c>
    </row>
    <row r="41" customFormat="false" ht="15" hidden="false" customHeight="false" outlineLevel="0" collapsed="false">
      <c r="A41" s="4" t="n">
        <v>46292</v>
      </c>
      <c r="B41" s="5" t="s">
        <v>9</v>
      </c>
      <c r="C41" s="6" t="n">
        <v>454</v>
      </c>
      <c r="D41" s="7" t="n">
        <v>36</v>
      </c>
      <c r="E41" s="7" t="s">
        <v>14</v>
      </c>
    </row>
    <row r="42" customFormat="false" ht="15" hidden="false" customHeight="false" outlineLevel="0" collapsed="false">
      <c r="A42" s="4" t="n">
        <v>46293</v>
      </c>
      <c r="B42" s="5" t="s">
        <v>6</v>
      </c>
      <c r="C42" s="6" t="n">
        <v>462</v>
      </c>
      <c r="D42" s="7" t="n">
        <v>37</v>
      </c>
      <c r="E42" s="7" t="s">
        <v>14</v>
      </c>
    </row>
    <row r="43" customFormat="false" ht="15" hidden="false" customHeight="false" outlineLevel="0" collapsed="false">
      <c r="A43" s="4" t="n">
        <v>46294</v>
      </c>
      <c r="B43" s="5" t="s">
        <v>10</v>
      </c>
      <c r="C43" s="6" t="n">
        <v>454</v>
      </c>
      <c r="D43" s="7" t="n">
        <v>38</v>
      </c>
      <c r="E43" s="7" t="s">
        <v>14</v>
      </c>
    </row>
    <row r="44" customFormat="false" ht="15" hidden="false" customHeight="false" outlineLevel="0" collapsed="false">
      <c r="A44" s="4" t="n">
        <v>46295</v>
      </c>
      <c r="B44" s="5" t="s">
        <v>11</v>
      </c>
      <c r="C44" s="6" t="n">
        <v>439</v>
      </c>
      <c r="D44" s="7" t="n">
        <v>39</v>
      </c>
      <c r="E44" s="7" t="s">
        <v>14</v>
      </c>
    </row>
    <row r="45" customFormat="false" ht="15" hidden="false" customHeight="false" outlineLevel="0" collapsed="false">
      <c r="A45" s="4" t="n">
        <v>46296</v>
      </c>
      <c r="B45" s="5" t="s">
        <v>12</v>
      </c>
      <c r="C45" s="6" t="n">
        <v>365</v>
      </c>
      <c r="D45" s="7" t="n">
        <v>40</v>
      </c>
      <c r="E45" s="7" t="s">
        <v>15</v>
      </c>
    </row>
    <row r="46" customFormat="false" ht="15" hidden="false" customHeight="false" outlineLevel="0" collapsed="false">
      <c r="A46" s="4" t="n">
        <v>46297</v>
      </c>
      <c r="B46" s="5" t="s">
        <v>13</v>
      </c>
      <c r="C46" s="6" t="n">
        <v>308</v>
      </c>
      <c r="D46" s="7" t="n">
        <v>41</v>
      </c>
      <c r="E46" s="7" t="s">
        <v>15</v>
      </c>
    </row>
    <row r="47" customFormat="false" ht="15" hidden="false" customHeight="false" outlineLevel="0" collapsed="false">
      <c r="A47" s="4" t="n">
        <v>46298</v>
      </c>
      <c r="B47" s="5" t="s">
        <v>7</v>
      </c>
      <c r="C47" s="6" t="n">
        <v>264</v>
      </c>
      <c r="D47" s="7" t="n">
        <v>42</v>
      </c>
      <c r="E47" s="7" t="s">
        <v>15</v>
      </c>
    </row>
    <row r="48" customFormat="false" ht="15" hidden="false" customHeight="false" outlineLevel="0" collapsed="false">
      <c r="A48" s="4" t="n">
        <v>46299</v>
      </c>
      <c r="B48" s="5" t="s">
        <v>9</v>
      </c>
      <c r="C48" s="6" t="n">
        <v>304</v>
      </c>
      <c r="D48" s="7" t="n">
        <v>43</v>
      </c>
      <c r="E48" s="7" t="s">
        <v>15</v>
      </c>
    </row>
    <row r="49" customFormat="false" ht="15" hidden="false" customHeight="false" outlineLevel="0" collapsed="false">
      <c r="A49" s="4" t="n">
        <v>46300</v>
      </c>
      <c r="B49" s="5" t="s">
        <v>6</v>
      </c>
      <c r="C49" s="6" t="n">
        <v>313</v>
      </c>
      <c r="D49" s="7" t="n">
        <v>44</v>
      </c>
      <c r="E49" s="7" t="s">
        <v>15</v>
      </c>
    </row>
    <row r="50" customFormat="false" ht="15" hidden="false" customHeight="false" outlineLevel="0" collapsed="false">
      <c r="A50" s="4" t="n">
        <v>46301</v>
      </c>
      <c r="B50" s="5" t="s">
        <v>10</v>
      </c>
      <c r="C50" s="6" t="n">
        <v>334</v>
      </c>
      <c r="D50" s="7" t="n">
        <v>45</v>
      </c>
      <c r="E50" s="7" t="s">
        <v>15</v>
      </c>
    </row>
    <row r="51" customFormat="false" ht="15" hidden="false" customHeight="false" outlineLevel="0" collapsed="false">
      <c r="A51" s="4" t="n">
        <v>46302</v>
      </c>
      <c r="B51" s="5" t="s">
        <v>11</v>
      </c>
      <c r="C51" s="6" t="n">
        <v>335</v>
      </c>
      <c r="D51" s="7" t="n">
        <v>46</v>
      </c>
      <c r="E51" s="7" t="s">
        <v>15</v>
      </c>
    </row>
    <row r="52" customFormat="false" ht="15" hidden="false" customHeight="false" outlineLevel="0" collapsed="false">
      <c r="A52" s="4" t="n">
        <v>46303</v>
      </c>
      <c r="B52" s="5" t="s">
        <v>12</v>
      </c>
      <c r="C52" s="6" t="n">
        <v>300</v>
      </c>
      <c r="D52" s="7" t="n">
        <v>47</v>
      </c>
      <c r="E52" s="7" t="s">
        <v>15</v>
      </c>
    </row>
    <row r="53" customFormat="false" ht="15" hidden="false" customHeight="false" outlineLevel="0" collapsed="false">
      <c r="A53" s="4" t="n">
        <v>46304</v>
      </c>
      <c r="B53" s="5" t="s">
        <v>13</v>
      </c>
      <c r="C53" s="6" t="n">
        <v>303</v>
      </c>
      <c r="D53" s="7" t="n">
        <v>48</v>
      </c>
      <c r="E53" s="7" t="s">
        <v>15</v>
      </c>
    </row>
    <row r="54" customFormat="false" ht="15" hidden="false" customHeight="false" outlineLevel="0" collapsed="false">
      <c r="A54" s="4" t="n">
        <v>46305</v>
      </c>
      <c r="B54" s="5" t="s">
        <v>7</v>
      </c>
      <c r="C54" s="6" t="n">
        <v>222</v>
      </c>
      <c r="D54" s="7" t="n">
        <v>49</v>
      </c>
      <c r="E54" s="7" t="s">
        <v>15</v>
      </c>
    </row>
    <row r="55" customFormat="false" ht="15" hidden="false" customHeight="false" outlineLevel="0" collapsed="false">
      <c r="A55" s="4" t="n">
        <v>46306</v>
      </c>
      <c r="B55" s="5" t="s">
        <v>9</v>
      </c>
      <c r="C55" s="6" t="n">
        <v>260</v>
      </c>
      <c r="D55" s="7" t="n">
        <v>50</v>
      </c>
      <c r="E55" s="7" t="s">
        <v>15</v>
      </c>
    </row>
    <row r="56" customFormat="false" ht="15" hidden="false" customHeight="false" outlineLevel="0" collapsed="false">
      <c r="A56" s="4" t="n">
        <v>46307</v>
      </c>
      <c r="B56" s="5" t="s">
        <v>6</v>
      </c>
      <c r="C56" s="6" t="n">
        <v>336</v>
      </c>
      <c r="D56" s="7" t="n">
        <v>51</v>
      </c>
      <c r="E56" s="7" t="s">
        <v>15</v>
      </c>
    </row>
    <row r="57" customFormat="false" ht="15" hidden="false" customHeight="false" outlineLevel="0" collapsed="false">
      <c r="A57" s="4" t="n">
        <v>46308</v>
      </c>
      <c r="B57" s="5" t="s">
        <v>10</v>
      </c>
      <c r="C57" s="6" t="n">
        <v>344</v>
      </c>
      <c r="D57" s="7" t="n">
        <v>52</v>
      </c>
      <c r="E57" s="7" t="s">
        <v>15</v>
      </c>
    </row>
    <row r="58" customFormat="false" ht="15" hidden="false" customHeight="false" outlineLevel="0" collapsed="false">
      <c r="A58" s="4" t="n">
        <v>46309</v>
      </c>
      <c r="B58" s="5" t="s">
        <v>11</v>
      </c>
      <c r="C58" s="6" t="n">
        <v>365</v>
      </c>
      <c r="D58" s="7" t="n">
        <v>53</v>
      </c>
      <c r="E58" s="7" t="s">
        <v>15</v>
      </c>
    </row>
    <row r="59" customFormat="false" ht="15" hidden="false" customHeight="false" outlineLevel="0" collapsed="false">
      <c r="A59" s="4" t="n">
        <v>46310</v>
      </c>
      <c r="B59" s="5" t="s">
        <v>12</v>
      </c>
      <c r="C59" s="6" t="n">
        <v>318</v>
      </c>
      <c r="D59" s="7" t="n">
        <v>54</v>
      </c>
      <c r="E59" s="7" t="s">
        <v>15</v>
      </c>
    </row>
    <row r="60" customFormat="false" ht="15" hidden="false" customHeight="false" outlineLevel="0" collapsed="false">
      <c r="A60" s="4" t="n">
        <v>46311</v>
      </c>
      <c r="B60" s="5" t="s">
        <v>13</v>
      </c>
      <c r="C60" s="6" t="n">
        <v>303</v>
      </c>
      <c r="D60" s="7" t="n">
        <v>55</v>
      </c>
      <c r="E60" s="7" t="s">
        <v>15</v>
      </c>
    </row>
    <row r="61" customFormat="false" ht="15" hidden="false" customHeight="false" outlineLevel="0" collapsed="false">
      <c r="A61" s="4" t="n">
        <v>46312</v>
      </c>
      <c r="B61" s="5" t="s">
        <v>7</v>
      </c>
      <c r="C61" s="6" t="n">
        <v>281</v>
      </c>
      <c r="D61" s="7" t="n">
        <v>56</v>
      </c>
      <c r="E61" s="7" t="s">
        <v>15</v>
      </c>
    </row>
    <row r="62" customFormat="false" ht="15" hidden="false" customHeight="false" outlineLevel="0" collapsed="false">
      <c r="A62" s="4" t="n">
        <v>46313</v>
      </c>
      <c r="B62" s="5" t="s">
        <v>9</v>
      </c>
      <c r="C62" s="6" t="n">
        <v>328</v>
      </c>
      <c r="D62" s="7" t="n">
        <v>57</v>
      </c>
      <c r="E62" s="7" t="s">
        <v>15</v>
      </c>
    </row>
    <row r="63" customFormat="false" ht="15" hidden="false" customHeight="false" outlineLevel="0" collapsed="false">
      <c r="A63" s="4" t="n">
        <v>46314</v>
      </c>
      <c r="B63" s="5" t="s">
        <v>6</v>
      </c>
      <c r="C63" s="6" t="n">
        <v>332</v>
      </c>
      <c r="D63" s="7" t="n">
        <v>58</v>
      </c>
      <c r="E63" s="7" t="s">
        <v>15</v>
      </c>
    </row>
    <row r="64" customFormat="false" ht="15" hidden="false" customHeight="false" outlineLevel="0" collapsed="false">
      <c r="A64" s="4" t="n">
        <v>46315</v>
      </c>
      <c r="B64" s="5" t="s">
        <v>10</v>
      </c>
      <c r="C64" s="6" t="n">
        <v>358</v>
      </c>
      <c r="D64" s="7" t="n">
        <v>59</v>
      </c>
      <c r="E64" s="7" t="s">
        <v>15</v>
      </c>
    </row>
    <row r="65" customFormat="false" ht="15" hidden="false" customHeight="false" outlineLevel="0" collapsed="false">
      <c r="A65" s="4" t="n">
        <v>46316</v>
      </c>
      <c r="B65" s="5" t="s">
        <v>11</v>
      </c>
      <c r="C65" s="6" t="n">
        <v>338</v>
      </c>
      <c r="D65" s="7" t="n">
        <v>60</v>
      </c>
      <c r="E65" s="7" t="s">
        <v>15</v>
      </c>
    </row>
    <row r="66" customFormat="false" ht="15" hidden="false" customHeight="false" outlineLevel="0" collapsed="false">
      <c r="A66" s="4" t="n">
        <v>46317</v>
      </c>
      <c r="B66" s="5" t="s">
        <v>12</v>
      </c>
      <c r="C66" s="6" t="n">
        <v>333</v>
      </c>
      <c r="D66" s="7" t="n">
        <v>61</v>
      </c>
      <c r="E66" s="7" t="s">
        <v>15</v>
      </c>
    </row>
    <row r="67" customFormat="false" ht="15" hidden="false" customHeight="false" outlineLevel="0" collapsed="false">
      <c r="A67" s="4" t="n">
        <v>46318</v>
      </c>
      <c r="B67" s="5" t="s">
        <v>13</v>
      </c>
      <c r="C67" s="6" t="n">
        <v>317</v>
      </c>
      <c r="D67" s="7" t="n">
        <v>62</v>
      </c>
      <c r="E67" s="7" t="s">
        <v>15</v>
      </c>
    </row>
    <row r="68" customFormat="false" ht="15" hidden="false" customHeight="false" outlineLevel="0" collapsed="false">
      <c r="A68" s="4" t="n">
        <v>46319</v>
      </c>
      <c r="B68" s="5" t="s">
        <v>7</v>
      </c>
      <c r="C68" s="6" t="n">
        <v>299</v>
      </c>
      <c r="D68" s="7" t="n">
        <v>63</v>
      </c>
      <c r="E68" s="7" t="s">
        <v>15</v>
      </c>
    </row>
    <row r="69" customFormat="false" ht="15" hidden="false" customHeight="false" outlineLevel="0" collapsed="false">
      <c r="A69" s="4" t="n">
        <v>46320</v>
      </c>
      <c r="B69" s="5" t="s">
        <v>9</v>
      </c>
      <c r="C69" s="6" t="n">
        <v>339</v>
      </c>
      <c r="D69" s="7" t="n">
        <v>64</v>
      </c>
      <c r="E69" s="7" t="s">
        <v>15</v>
      </c>
    </row>
    <row r="70" customFormat="false" ht="15" hidden="false" customHeight="false" outlineLevel="0" collapsed="false">
      <c r="A70" s="4" t="n">
        <v>46321</v>
      </c>
      <c r="B70" s="5" t="s">
        <v>6</v>
      </c>
      <c r="C70" s="6" t="n">
        <v>344</v>
      </c>
      <c r="D70" s="7" t="n">
        <v>65</v>
      </c>
      <c r="E70" s="7" t="s">
        <v>15</v>
      </c>
    </row>
    <row r="71" customFormat="false" ht="15" hidden="false" customHeight="false" outlineLevel="0" collapsed="false">
      <c r="A71" s="4" t="n">
        <v>46322</v>
      </c>
      <c r="B71" s="5" t="s">
        <v>10</v>
      </c>
      <c r="C71" s="6" t="n">
        <v>378</v>
      </c>
      <c r="D71" s="7" t="n">
        <v>66</v>
      </c>
      <c r="E71" s="7" t="s">
        <v>15</v>
      </c>
    </row>
    <row r="72" customFormat="false" ht="15" hidden="false" customHeight="false" outlineLevel="0" collapsed="false">
      <c r="A72" s="4" t="n">
        <v>46323</v>
      </c>
      <c r="B72" s="5" t="s">
        <v>11</v>
      </c>
      <c r="C72" s="6" t="n">
        <v>376</v>
      </c>
      <c r="D72" s="7" t="n">
        <v>67</v>
      </c>
      <c r="E72" s="7" t="s">
        <v>15</v>
      </c>
    </row>
    <row r="73" customFormat="false" ht="15" hidden="false" customHeight="false" outlineLevel="0" collapsed="false">
      <c r="A73" s="4" t="n">
        <v>46324</v>
      </c>
      <c r="B73" s="5" t="s">
        <v>12</v>
      </c>
      <c r="C73" s="6" t="n">
        <v>358</v>
      </c>
      <c r="D73" s="7" t="n">
        <v>68</v>
      </c>
      <c r="E73" s="7" t="s">
        <v>15</v>
      </c>
    </row>
    <row r="74" customFormat="false" ht="15" hidden="false" customHeight="false" outlineLevel="0" collapsed="false">
      <c r="A74" s="4" t="n">
        <v>46325</v>
      </c>
      <c r="B74" s="5" t="s">
        <v>13</v>
      </c>
      <c r="C74" s="6" t="n">
        <v>335</v>
      </c>
      <c r="D74" s="7" t="n">
        <v>69</v>
      </c>
      <c r="E74" s="7" t="s">
        <v>15</v>
      </c>
    </row>
    <row r="75" customFormat="false" ht="15" hidden="false" customHeight="false" outlineLevel="0" collapsed="false">
      <c r="A75" s="4" t="n">
        <v>46326</v>
      </c>
      <c r="B75" s="5" t="s">
        <v>7</v>
      </c>
      <c r="C75" s="6" t="n">
        <v>319</v>
      </c>
      <c r="D75" s="7" t="n">
        <v>70</v>
      </c>
      <c r="E75" s="7" t="s">
        <v>15</v>
      </c>
    </row>
    <row r="76" customFormat="false" ht="15" hidden="false" customHeight="false" outlineLevel="0" collapsed="false">
      <c r="A76" s="4" t="n">
        <v>46327</v>
      </c>
      <c r="B76" s="5" t="s">
        <v>9</v>
      </c>
      <c r="C76" s="6" t="n">
        <v>367</v>
      </c>
      <c r="D76" s="7" t="n">
        <v>71</v>
      </c>
      <c r="E76" s="7" t="s">
        <v>16</v>
      </c>
    </row>
    <row r="77" customFormat="false" ht="15" hidden="false" customHeight="false" outlineLevel="0" collapsed="false">
      <c r="A77" s="4" t="n">
        <v>46328</v>
      </c>
      <c r="B77" s="5" t="s">
        <v>6</v>
      </c>
      <c r="C77" s="6" t="n">
        <v>402</v>
      </c>
      <c r="D77" s="7" t="n">
        <v>72</v>
      </c>
      <c r="E77" s="7" t="s">
        <v>16</v>
      </c>
    </row>
    <row r="78" customFormat="false" ht="15" hidden="false" customHeight="false" outlineLevel="0" collapsed="false">
      <c r="A78" s="4" t="n">
        <v>46329</v>
      </c>
      <c r="B78" s="5" t="s">
        <v>10</v>
      </c>
      <c r="C78" s="6" t="n">
        <v>396</v>
      </c>
      <c r="D78" s="7" t="n">
        <v>73</v>
      </c>
      <c r="E78" s="7" t="s">
        <v>16</v>
      </c>
    </row>
    <row r="79" customFormat="false" ht="15" hidden="false" customHeight="false" outlineLevel="0" collapsed="false">
      <c r="A79" s="4" t="n">
        <v>46330</v>
      </c>
      <c r="B79" s="5" t="s">
        <v>11</v>
      </c>
      <c r="C79" s="6" t="n">
        <v>402</v>
      </c>
      <c r="D79" s="7" t="n">
        <v>74</v>
      </c>
      <c r="E79" s="7" t="s">
        <v>16</v>
      </c>
    </row>
    <row r="80" customFormat="false" ht="15" hidden="false" customHeight="false" outlineLevel="0" collapsed="false">
      <c r="A80" s="4" t="n">
        <v>46331</v>
      </c>
      <c r="B80" s="5" t="s">
        <v>12</v>
      </c>
      <c r="C80" s="6" t="n">
        <v>403</v>
      </c>
      <c r="D80" s="7" t="n">
        <v>75</v>
      </c>
      <c r="E80" s="7" t="s">
        <v>16</v>
      </c>
    </row>
    <row r="81" customFormat="false" ht="15" hidden="false" customHeight="false" outlineLevel="0" collapsed="false">
      <c r="A81" s="4" t="n">
        <v>46332</v>
      </c>
      <c r="B81" s="5" t="s">
        <v>13</v>
      </c>
      <c r="C81" s="6" t="n">
        <v>376</v>
      </c>
      <c r="D81" s="7" t="n">
        <v>76</v>
      </c>
      <c r="E81" s="7" t="s">
        <v>16</v>
      </c>
    </row>
    <row r="82" customFormat="false" ht="15" hidden="false" customHeight="false" outlineLevel="0" collapsed="false">
      <c r="A82" s="4" t="n">
        <v>46333</v>
      </c>
      <c r="B82" s="5" t="s">
        <v>7</v>
      </c>
      <c r="C82" s="6" t="n">
        <v>355</v>
      </c>
      <c r="D82" s="7" t="n">
        <v>77</v>
      </c>
      <c r="E82" s="7" t="s">
        <v>16</v>
      </c>
    </row>
    <row r="83" customFormat="false" ht="15" hidden="false" customHeight="false" outlineLevel="0" collapsed="false">
      <c r="A83" s="4" t="n">
        <v>46334</v>
      </c>
      <c r="B83" s="5" t="s">
        <v>9</v>
      </c>
      <c r="C83" s="6" t="n">
        <v>389</v>
      </c>
      <c r="D83" s="7" t="n">
        <v>78</v>
      </c>
      <c r="E83" s="7" t="s">
        <v>16</v>
      </c>
    </row>
    <row r="84" customFormat="false" ht="15" hidden="false" customHeight="false" outlineLevel="0" collapsed="false">
      <c r="A84" s="4" t="n">
        <v>46335</v>
      </c>
      <c r="B84" s="5" t="s">
        <v>6</v>
      </c>
      <c r="C84" s="6" t="n">
        <v>406</v>
      </c>
      <c r="D84" s="7" t="n">
        <v>79</v>
      </c>
      <c r="E84" s="7" t="s">
        <v>16</v>
      </c>
    </row>
    <row r="85" customFormat="false" ht="15" hidden="false" customHeight="false" outlineLevel="0" collapsed="false">
      <c r="A85" s="4" t="n">
        <v>46336</v>
      </c>
      <c r="B85" s="5" t="s">
        <v>10</v>
      </c>
      <c r="C85" s="6" t="n">
        <v>441</v>
      </c>
      <c r="D85" s="7" t="n">
        <v>80</v>
      </c>
      <c r="E85" s="7" t="s">
        <v>16</v>
      </c>
    </row>
    <row r="86" customFormat="false" ht="15" hidden="false" customHeight="false" outlineLevel="0" collapsed="false">
      <c r="A86" s="4" t="n">
        <v>46337</v>
      </c>
      <c r="B86" s="5" t="s">
        <v>11</v>
      </c>
      <c r="C86" s="6" t="n">
        <v>434</v>
      </c>
      <c r="D86" s="7" t="n">
        <v>81</v>
      </c>
      <c r="E86" s="7" t="s">
        <v>16</v>
      </c>
    </row>
    <row r="87" customFormat="false" ht="15" hidden="false" customHeight="false" outlineLevel="0" collapsed="false">
      <c r="A87" s="4" t="n">
        <v>46338</v>
      </c>
      <c r="B87" s="5" t="s">
        <v>12</v>
      </c>
      <c r="C87" s="6" t="n">
        <v>399</v>
      </c>
      <c r="D87" s="7" t="n">
        <v>82</v>
      </c>
      <c r="E87" s="7" t="s">
        <v>16</v>
      </c>
    </row>
    <row r="88" customFormat="false" ht="15" hidden="false" customHeight="false" outlineLevel="0" collapsed="false">
      <c r="A88" s="4" t="n">
        <v>46339</v>
      </c>
      <c r="B88" s="5" t="s">
        <v>13</v>
      </c>
      <c r="C88" s="6" t="n">
        <v>390</v>
      </c>
      <c r="D88" s="7" t="n">
        <v>83</v>
      </c>
      <c r="E88" s="7" t="s">
        <v>16</v>
      </c>
    </row>
    <row r="89" customFormat="false" ht="15" hidden="false" customHeight="false" outlineLevel="0" collapsed="false">
      <c r="A89" s="4" t="n">
        <v>46340</v>
      </c>
      <c r="B89" s="5" t="s">
        <v>7</v>
      </c>
      <c r="C89" s="6" t="n">
        <v>382</v>
      </c>
      <c r="D89" s="7" t="n">
        <v>84</v>
      </c>
      <c r="E89" s="7" t="s">
        <v>16</v>
      </c>
    </row>
    <row r="90" customFormat="false" ht="15" hidden="false" customHeight="false" outlineLevel="0" collapsed="false">
      <c r="A90" s="4" t="n">
        <v>46341</v>
      </c>
      <c r="B90" s="5" t="s">
        <v>9</v>
      </c>
      <c r="C90" s="6" t="n">
        <v>423</v>
      </c>
      <c r="D90" s="7" t="n">
        <v>85</v>
      </c>
      <c r="E90" s="7" t="s">
        <v>16</v>
      </c>
    </row>
    <row r="91" customFormat="false" ht="15" hidden="false" customHeight="false" outlineLevel="0" collapsed="false">
      <c r="A91" s="4" t="n">
        <v>46342</v>
      </c>
      <c r="B91" s="5" t="s">
        <v>6</v>
      </c>
      <c r="C91" s="6" t="n">
        <v>444</v>
      </c>
      <c r="D91" s="7" t="n">
        <v>86</v>
      </c>
      <c r="E91" s="7" t="s">
        <v>16</v>
      </c>
    </row>
    <row r="92" customFormat="false" ht="15" hidden="false" customHeight="false" outlineLevel="0" collapsed="false">
      <c r="A92" s="4" t="n">
        <v>46343</v>
      </c>
      <c r="B92" s="5" t="s">
        <v>10</v>
      </c>
      <c r="C92" s="6" t="n">
        <v>463</v>
      </c>
      <c r="D92" s="7" t="n">
        <v>87</v>
      </c>
      <c r="E92" s="7" t="s">
        <v>16</v>
      </c>
    </row>
    <row r="93" customFormat="false" ht="15" hidden="false" customHeight="false" outlineLevel="0" collapsed="false">
      <c r="A93" s="4" t="n">
        <v>46344</v>
      </c>
      <c r="B93" s="5" t="s">
        <v>11</v>
      </c>
      <c r="C93" s="6" t="n">
        <v>445</v>
      </c>
      <c r="D93" s="7" t="n">
        <v>88</v>
      </c>
      <c r="E93" s="7" t="s">
        <v>16</v>
      </c>
    </row>
    <row r="94" customFormat="false" ht="15" hidden="false" customHeight="false" outlineLevel="0" collapsed="false">
      <c r="A94" s="4" t="n">
        <v>46345</v>
      </c>
      <c r="B94" s="5" t="s">
        <v>12</v>
      </c>
      <c r="C94" s="6" t="n">
        <v>410</v>
      </c>
      <c r="D94" s="7" t="n">
        <v>89</v>
      </c>
      <c r="E94" s="7" t="s">
        <v>16</v>
      </c>
    </row>
    <row r="95" customFormat="false" ht="15" hidden="false" customHeight="false" outlineLevel="0" collapsed="false">
      <c r="A95" s="4" t="n">
        <v>46346</v>
      </c>
      <c r="B95" s="5" t="s">
        <v>13</v>
      </c>
      <c r="C95" s="6" t="n">
        <v>372</v>
      </c>
      <c r="D95" s="7" t="n">
        <v>90</v>
      </c>
      <c r="E95" s="7" t="s">
        <v>16</v>
      </c>
    </row>
    <row r="96" customFormat="false" ht="15" hidden="false" customHeight="false" outlineLevel="0" collapsed="false">
      <c r="A96" s="4" t="n">
        <v>46347</v>
      </c>
      <c r="B96" s="5" t="s">
        <v>7</v>
      </c>
      <c r="C96" s="6" t="n">
        <v>305</v>
      </c>
      <c r="D96" s="7" t="n">
        <v>91</v>
      </c>
      <c r="E96" s="7" t="s">
        <v>16</v>
      </c>
    </row>
    <row r="97" customFormat="false" ht="15" hidden="false" customHeight="false" outlineLevel="0" collapsed="false">
      <c r="A97" s="4" t="n">
        <v>46348</v>
      </c>
      <c r="B97" s="5" t="s">
        <v>9</v>
      </c>
      <c r="C97" s="6" t="n">
        <v>340</v>
      </c>
      <c r="D97" s="7" t="n">
        <v>92</v>
      </c>
      <c r="E97" s="7" t="s">
        <v>16</v>
      </c>
    </row>
    <row r="98" customFormat="false" ht="15" hidden="false" customHeight="false" outlineLevel="0" collapsed="false">
      <c r="A98" s="4" t="n">
        <v>46349</v>
      </c>
      <c r="B98" s="5" t="s">
        <v>6</v>
      </c>
      <c r="C98" s="6" t="n">
        <v>394</v>
      </c>
      <c r="D98" s="7" t="n">
        <v>93</v>
      </c>
      <c r="E98" s="7" t="s">
        <v>16</v>
      </c>
    </row>
    <row r="99" customFormat="false" ht="15" hidden="false" customHeight="false" outlineLevel="0" collapsed="false">
      <c r="A99" s="4" t="n">
        <v>46350</v>
      </c>
      <c r="B99" s="5" t="s">
        <v>10</v>
      </c>
      <c r="C99" s="6" t="n">
        <v>414</v>
      </c>
      <c r="D99" s="7" t="n">
        <v>94</v>
      </c>
      <c r="E99" s="7" t="s">
        <v>16</v>
      </c>
    </row>
    <row r="100" customFormat="false" ht="15" hidden="false" customHeight="false" outlineLevel="0" collapsed="false">
      <c r="A100" s="4" t="n">
        <v>46351</v>
      </c>
      <c r="B100" s="5" t="s">
        <v>11</v>
      </c>
      <c r="C100" s="6" t="n">
        <v>420</v>
      </c>
      <c r="D100" s="7" t="n">
        <v>95</v>
      </c>
      <c r="E100" s="7" t="s">
        <v>16</v>
      </c>
    </row>
    <row r="101" customFormat="false" ht="15" hidden="false" customHeight="false" outlineLevel="0" collapsed="false">
      <c r="A101" s="4" t="n">
        <v>46352</v>
      </c>
      <c r="B101" s="5" t="s">
        <v>12</v>
      </c>
      <c r="C101" s="6" t="n">
        <v>421</v>
      </c>
      <c r="D101" s="7" t="n">
        <v>96</v>
      </c>
      <c r="E101" s="7" t="s">
        <v>16</v>
      </c>
    </row>
    <row r="102" customFormat="false" ht="15" hidden="false" customHeight="false" outlineLevel="0" collapsed="false">
      <c r="A102" s="4" t="n">
        <v>46353</v>
      </c>
      <c r="B102" s="5" t="s">
        <v>13</v>
      </c>
      <c r="C102" s="6" t="n">
        <v>396</v>
      </c>
      <c r="D102" s="7" t="n">
        <v>97</v>
      </c>
      <c r="E102" s="7" t="s">
        <v>16</v>
      </c>
    </row>
    <row r="103" customFormat="false" ht="15" hidden="false" customHeight="false" outlineLevel="0" collapsed="false">
      <c r="A103" s="4" t="n">
        <v>46354</v>
      </c>
      <c r="B103" s="5" t="s">
        <v>7</v>
      </c>
      <c r="C103" s="6" t="n">
        <v>384</v>
      </c>
      <c r="D103" s="7" t="n">
        <v>98</v>
      </c>
      <c r="E103" s="7" t="s">
        <v>16</v>
      </c>
    </row>
    <row r="104" customFormat="false" ht="15" hidden="false" customHeight="false" outlineLevel="0" collapsed="false">
      <c r="A104" s="4" t="n">
        <v>46355</v>
      </c>
      <c r="B104" s="5" t="s">
        <v>9</v>
      </c>
      <c r="C104" s="6" t="n">
        <v>443</v>
      </c>
      <c r="D104" s="7" t="n">
        <v>99</v>
      </c>
      <c r="E104" s="7" t="s">
        <v>16</v>
      </c>
    </row>
    <row r="105" customFormat="false" ht="15" hidden="false" customHeight="false" outlineLevel="0" collapsed="false">
      <c r="A105" s="4" t="n">
        <v>46356</v>
      </c>
      <c r="B105" s="5" t="s">
        <v>6</v>
      </c>
      <c r="C105" s="6" t="n">
        <v>484</v>
      </c>
      <c r="D105" s="7" t="n">
        <v>100</v>
      </c>
      <c r="E105" s="7" t="s">
        <v>16</v>
      </c>
    </row>
    <row r="106" customFormat="false" ht="15" hidden="false" customHeight="false" outlineLevel="0" collapsed="false">
      <c r="A106" s="4" t="n">
        <v>46357</v>
      </c>
      <c r="B106" s="5" t="s">
        <v>10</v>
      </c>
      <c r="C106" s="6" t="n">
        <v>486</v>
      </c>
      <c r="D106" s="7" t="n">
        <v>101</v>
      </c>
      <c r="E106" s="7" t="s">
        <v>17</v>
      </c>
    </row>
    <row r="107" customFormat="false" ht="15" hidden="false" customHeight="false" outlineLevel="0" collapsed="false">
      <c r="A107" s="4" t="n">
        <v>46358</v>
      </c>
      <c r="B107" s="5" t="s">
        <v>11</v>
      </c>
      <c r="C107" s="6" t="n">
        <v>484</v>
      </c>
      <c r="D107" s="7" t="n">
        <v>102</v>
      </c>
      <c r="E107" s="7" t="s">
        <v>17</v>
      </c>
    </row>
    <row r="108" customFormat="false" ht="15" hidden="false" customHeight="false" outlineLevel="0" collapsed="false">
      <c r="A108" s="4" t="n">
        <v>46359</v>
      </c>
      <c r="B108" s="5" t="s">
        <v>12</v>
      </c>
      <c r="C108" s="6" t="n">
        <v>477</v>
      </c>
      <c r="D108" s="7" t="n">
        <v>103</v>
      </c>
      <c r="E108" s="7" t="s">
        <v>17</v>
      </c>
    </row>
    <row r="109" customFormat="false" ht="15" hidden="false" customHeight="false" outlineLevel="0" collapsed="false">
      <c r="A109" s="4" t="n">
        <v>46360</v>
      </c>
      <c r="B109" s="5" t="s">
        <v>13</v>
      </c>
      <c r="C109" s="6" t="n">
        <v>475</v>
      </c>
      <c r="D109" s="7" t="n">
        <v>104</v>
      </c>
      <c r="E109" s="7" t="s">
        <v>17</v>
      </c>
    </row>
    <row r="110" customFormat="false" ht="15" hidden="false" customHeight="false" outlineLevel="0" collapsed="false">
      <c r="A110" s="4" t="n">
        <v>46361</v>
      </c>
      <c r="B110" s="5" t="s">
        <v>7</v>
      </c>
      <c r="C110" s="6" t="n">
        <v>488</v>
      </c>
      <c r="D110" s="7" t="n">
        <v>105</v>
      </c>
      <c r="E110" s="7" t="s">
        <v>17</v>
      </c>
    </row>
    <row r="111" customFormat="false" ht="15" hidden="false" customHeight="false" outlineLevel="0" collapsed="false">
      <c r="A111" s="4" t="n">
        <v>46362</v>
      </c>
      <c r="B111" s="5" t="s">
        <v>9</v>
      </c>
      <c r="C111" s="6" t="n">
        <v>515</v>
      </c>
      <c r="D111" s="7" t="n">
        <v>106</v>
      </c>
      <c r="E111" s="7" t="s">
        <v>17</v>
      </c>
    </row>
    <row r="112" customFormat="false" ht="15" hidden="false" customHeight="false" outlineLevel="0" collapsed="false">
      <c r="A112" s="4" t="n">
        <v>46363</v>
      </c>
      <c r="B112" s="5" t="s">
        <v>6</v>
      </c>
      <c r="C112" s="6" t="n">
        <v>524</v>
      </c>
      <c r="D112" s="7" t="n">
        <v>107</v>
      </c>
      <c r="E112" s="7" t="s">
        <v>17</v>
      </c>
    </row>
    <row r="113" customFormat="false" ht="15" hidden="false" customHeight="false" outlineLevel="0" collapsed="false">
      <c r="A113" s="4" t="n">
        <v>46364</v>
      </c>
      <c r="B113" s="5" t="s">
        <v>10</v>
      </c>
      <c r="C113" s="6" t="n">
        <v>518</v>
      </c>
      <c r="D113" s="7" t="n">
        <v>108</v>
      </c>
      <c r="E113" s="7" t="s">
        <v>17</v>
      </c>
    </row>
    <row r="114" customFormat="false" ht="15" hidden="false" customHeight="false" outlineLevel="0" collapsed="false">
      <c r="A114" s="4" t="n">
        <v>46365</v>
      </c>
      <c r="B114" s="5" t="s">
        <v>11</v>
      </c>
      <c r="C114" s="6" t="n">
        <v>507</v>
      </c>
      <c r="D114" s="7" t="n">
        <v>109</v>
      </c>
      <c r="E114" s="7" t="s">
        <v>17</v>
      </c>
    </row>
    <row r="115" customFormat="false" ht="15" hidden="false" customHeight="false" outlineLevel="0" collapsed="false">
      <c r="A115" s="4" t="n">
        <v>46366</v>
      </c>
      <c r="B115" s="5" t="s">
        <v>12</v>
      </c>
      <c r="C115" s="6" t="n">
        <v>493</v>
      </c>
      <c r="D115" s="7" t="n">
        <v>110</v>
      </c>
      <c r="E115" s="7" t="s">
        <v>17</v>
      </c>
    </row>
    <row r="116" customFormat="false" ht="15" hidden="false" customHeight="false" outlineLevel="0" collapsed="false">
      <c r="A116" s="4" t="n">
        <v>46367</v>
      </c>
      <c r="B116" s="5" t="s">
        <v>13</v>
      </c>
      <c r="C116" s="6" t="n">
        <v>490</v>
      </c>
      <c r="D116" s="7" t="n">
        <v>111</v>
      </c>
      <c r="E116" s="7" t="s">
        <v>17</v>
      </c>
    </row>
    <row r="117" customFormat="false" ht="15" hidden="false" customHeight="false" outlineLevel="0" collapsed="false">
      <c r="A117" s="4" t="n">
        <v>46368</v>
      </c>
      <c r="B117" s="5" t="s">
        <v>7</v>
      </c>
      <c r="C117" s="6" t="n">
        <v>477</v>
      </c>
      <c r="D117" s="7" t="n">
        <v>112</v>
      </c>
      <c r="E117" s="7" t="s">
        <v>17</v>
      </c>
    </row>
    <row r="118" customFormat="false" ht="15" hidden="false" customHeight="false" outlineLevel="0" collapsed="false">
      <c r="A118" s="4" t="n">
        <v>46369</v>
      </c>
      <c r="B118" s="5" t="s">
        <v>9</v>
      </c>
      <c r="C118" s="6" t="n">
        <v>510</v>
      </c>
      <c r="D118" s="7" t="n">
        <v>113</v>
      </c>
      <c r="E118" s="7" t="s">
        <v>17</v>
      </c>
    </row>
    <row r="119" customFormat="false" ht="15" hidden="false" customHeight="false" outlineLevel="0" collapsed="false">
      <c r="A119" s="4" t="n">
        <v>46370</v>
      </c>
      <c r="B119" s="5" t="s">
        <v>6</v>
      </c>
      <c r="C119" s="6" t="n">
        <v>508</v>
      </c>
      <c r="D119" s="7" t="n">
        <v>114</v>
      </c>
      <c r="E119" s="7" t="s">
        <v>17</v>
      </c>
    </row>
    <row r="120" customFormat="false" ht="15" hidden="false" customHeight="false" outlineLevel="0" collapsed="false">
      <c r="A120" s="4" t="n">
        <v>46371</v>
      </c>
      <c r="B120" s="5" t="s">
        <v>10</v>
      </c>
      <c r="C120" s="6" t="n">
        <v>510</v>
      </c>
      <c r="D120" s="7" t="n">
        <v>115</v>
      </c>
      <c r="E120" s="7" t="s">
        <v>17</v>
      </c>
    </row>
    <row r="121" customFormat="false" ht="15" hidden="false" customHeight="false" outlineLevel="0" collapsed="false">
      <c r="A121" s="4" t="n">
        <v>46372</v>
      </c>
      <c r="B121" s="5" t="s">
        <v>11</v>
      </c>
      <c r="C121" s="6" t="n">
        <v>503</v>
      </c>
      <c r="D121" s="7" t="n">
        <v>116</v>
      </c>
      <c r="E121" s="7" t="s">
        <v>17</v>
      </c>
    </row>
    <row r="122" customFormat="false" ht="15" hidden="false" customHeight="false" outlineLevel="0" collapsed="false">
      <c r="A122" s="4" t="n">
        <v>46373</v>
      </c>
      <c r="B122" s="5" t="s">
        <v>12</v>
      </c>
      <c r="C122" s="6" t="n">
        <v>505</v>
      </c>
      <c r="D122" s="7" t="n">
        <v>117</v>
      </c>
      <c r="E122" s="7" t="s">
        <v>17</v>
      </c>
    </row>
    <row r="123" customFormat="false" ht="15" hidden="false" customHeight="false" outlineLevel="0" collapsed="false">
      <c r="A123" s="4" t="n">
        <v>46374</v>
      </c>
      <c r="B123" s="5" t="s">
        <v>13</v>
      </c>
      <c r="C123" s="6" t="n">
        <v>491</v>
      </c>
      <c r="D123" s="7" t="n">
        <v>118</v>
      </c>
      <c r="E123" s="7" t="s">
        <v>17</v>
      </c>
    </row>
    <row r="124" customFormat="false" ht="15" hidden="false" customHeight="false" outlineLevel="0" collapsed="false">
      <c r="A124" s="4" t="n">
        <v>46375</v>
      </c>
      <c r="B124" s="5" t="s">
        <v>7</v>
      </c>
      <c r="C124" s="6" t="n">
        <v>454</v>
      </c>
      <c r="D124" s="7" t="n">
        <v>119</v>
      </c>
      <c r="E124" s="7" t="s">
        <v>17</v>
      </c>
    </row>
    <row r="125" customFormat="false" ht="15" hidden="false" customHeight="false" outlineLevel="0" collapsed="false">
      <c r="A125" s="4" t="n">
        <v>46376</v>
      </c>
      <c r="B125" s="5" t="s">
        <v>9</v>
      </c>
      <c r="C125" s="6" t="n">
        <v>464</v>
      </c>
      <c r="D125" s="7" t="n">
        <v>120</v>
      </c>
      <c r="E125" s="7" t="s">
        <v>17</v>
      </c>
    </row>
    <row r="126" customFormat="false" ht="15" hidden="false" customHeight="false" outlineLevel="0" collapsed="false">
      <c r="A126" s="4" t="n">
        <v>46377</v>
      </c>
      <c r="B126" s="5" t="s">
        <v>6</v>
      </c>
      <c r="C126" s="6" t="n">
        <v>465</v>
      </c>
      <c r="D126" s="7" t="n">
        <v>121</v>
      </c>
      <c r="E126" s="7" t="s">
        <v>17</v>
      </c>
    </row>
    <row r="127" customFormat="false" ht="15" hidden="false" customHeight="false" outlineLevel="0" collapsed="false">
      <c r="A127" s="4" t="n">
        <v>46378</v>
      </c>
      <c r="B127" s="5" t="s">
        <v>10</v>
      </c>
      <c r="C127" s="6" t="n">
        <v>465</v>
      </c>
      <c r="D127" s="7" t="n">
        <v>122</v>
      </c>
      <c r="E127" s="7" t="s">
        <v>17</v>
      </c>
    </row>
    <row r="128" customFormat="false" ht="15" hidden="false" customHeight="false" outlineLevel="0" collapsed="false">
      <c r="A128" s="4" t="n">
        <v>46379</v>
      </c>
      <c r="B128" s="5" t="s">
        <v>11</v>
      </c>
      <c r="C128" s="6" t="n">
        <v>451</v>
      </c>
      <c r="D128" s="7" t="n">
        <v>123</v>
      </c>
      <c r="E128" s="7" t="s">
        <v>17</v>
      </c>
    </row>
    <row r="129" customFormat="false" ht="15" hidden="false" customHeight="false" outlineLevel="0" collapsed="false">
      <c r="A129" s="4" t="n">
        <v>46380</v>
      </c>
      <c r="B129" s="5" t="s">
        <v>12</v>
      </c>
      <c r="C129" s="6" t="n">
        <v>439</v>
      </c>
      <c r="D129" s="7" t="n">
        <v>124</v>
      </c>
      <c r="E129" s="7" t="s">
        <v>17</v>
      </c>
    </row>
    <row r="130" customFormat="false" ht="15" hidden="false" customHeight="false" outlineLevel="0" collapsed="false">
      <c r="A130" s="4" t="n">
        <v>46381</v>
      </c>
      <c r="B130" s="5" t="s">
        <v>13</v>
      </c>
      <c r="C130" s="6" t="n">
        <v>403</v>
      </c>
      <c r="D130" s="7" t="n">
        <v>125</v>
      </c>
      <c r="E130" s="7" t="s">
        <v>17</v>
      </c>
    </row>
    <row r="131" customFormat="false" ht="15" hidden="false" customHeight="false" outlineLevel="0" collapsed="false">
      <c r="A131" s="4" t="n">
        <v>46382</v>
      </c>
      <c r="B131" s="5" t="s">
        <v>7</v>
      </c>
      <c r="C131" s="6" t="n">
        <v>381</v>
      </c>
      <c r="D131" s="7" t="n">
        <v>126</v>
      </c>
      <c r="E131" s="7" t="s">
        <v>17</v>
      </c>
    </row>
    <row r="132" customFormat="false" ht="15" hidden="false" customHeight="false" outlineLevel="0" collapsed="false">
      <c r="A132" s="4" t="n">
        <v>46383</v>
      </c>
      <c r="B132" s="5" t="s">
        <v>9</v>
      </c>
      <c r="C132" s="6" t="n">
        <v>369</v>
      </c>
      <c r="D132" s="7" t="n">
        <v>127</v>
      </c>
      <c r="E132" s="7" t="s">
        <v>17</v>
      </c>
    </row>
    <row r="133" customFormat="false" ht="15" hidden="false" customHeight="false" outlineLevel="0" collapsed="false">
      <c r="A133" s="4" t="n">
        <v>46384</v>
      </c>
      <c r="B133" s="5" t="s">
        <v>6</v>
      </c>
      <c r="C133" s="6" t="n">
        <v>352</v>
      </c>
      <c r="D133" s="7" t="n">
        <v>128</v>
      </c>
      <c r="E133" s="7" t="s">
        <v>17</v>
      </c>
    </row>
    <row r="134" customFormat="false" ht="15" hidden="false" customHeight="false" outlineLevel="0" collapsed="false">
      <c r="A134" s="4" t="n">
        <v>46385</v>
      </c>
      <c r="B134" s="5" t="s">
        <v>10</v>
      </c>
      <c r="C134" s="6" t="n">
        <v>328</v>
      </c>
      <c r="D134" s="7" t="n">
        <v>129</v>
      </c>
      <c r="E134" s="7" t="s">
        <v>17</v>
      </c>
    </row>
    <row r="135" customFormat="false" ht="15" hidden="false" customHeight="false" outlineLevel="0" collapsed="false">
      <c r="A135" s="4" t="n">
        <v>46386</v>
      </c>
      <c r="B135" s="5" t="s">
        <v>11</v>
      </c>
      <c r="C135" s="6" t="n">
        <v>319</v>
      </c>
      <c r="D135" s="7" t="n">
        <v>130</v>
      </c>
      <c r="E135" s="7" t="s">
        <v>17</v>
      </c>
    </row>
    <row r="136" customFormat="false" ht="15" hidden="false" customHeight="false" outlineLevel="0" collapsed="false">
      <c r="A136" s="4" t="n">
        <v>46387</v>
      </c>
      <c r="B136" s="5" t="s">
        <v>12</v>
      </c>
      <c r="C136" s="6" t="n">
        <v>306</v>
      </c>
      <c r="D136" s="7" t="n">
        <v>131</v>
      </c>
      <c r="E136" s="7" t="s">
        <v>17</v>
      </c>
    </row>
    <row r="137" customFormat="false" ht="15" hidden="false" customHeight="false" outlineLevel="0" collapsed="false">
      <c r="A137" s="4" t="n">
        <v>46388</v>
      </c>
      <c r="B137" s="5" t="s">
        <v>13</v>
      </c>
      <c r="C137" s="6" t="n">
        <v>337</v>
      </c>
      <c r="D137" s="7" t="n">
        <v>132</v>
      </c>
      <c r="E137" s="7" t="s">
        <v>18</v>
      </c>
    </row>
    <row r="138" customFormat="false" ht="15" hidden="false" customHeight="false" outlineLevel="0" collapsed="false">
      <c r="A138" s="4" t="n">
        <v>46389</v>
      </c>
      <c r="B138" s="5" t="s">
        <v>7</v>
      </c>
      <c r="C138" s="6" t="n">
        <v>407</v>
      </c>
      <c r="D138" s="7" t="n">
        <v>133</v>
      </c>
      <c r="E138" s="7" t="s">
        <v>18</v>
      </c>
    </row>
    <row r="139" customFormat="false" ht="15" hidden="false" customHeight="false" outlineLevel="0" collapsed="false">
      <c r="A139" s="4" t="n">
        <v>46390</v>
      </c>
      <c r="B139" s="5" t="s">
        <v>9</v>
      </c>
      <c r="C139" s="6" t="n">
        <v>482</v>
      </c>
      <c r="D139" s="7" t="n">
        <v>134</v>
      </c>
      <c r="E139" s="7" t="s">
        <v>18</v>
      </c>
    </row>
    <row r="140" customFormat="false" ht="15" hidden="false" customHeight="false" outlineLevel="0" collapsed="false">
      <c r="A140" s="4" t="n">
        <v>46391</v>
      </c>
      <c r="B140" s="5" t="s">
        <v>6</v>
      </c>
      <c r="C140" s="6" t="n">
        <v>530</v>
      </c>
      <c r="D140" s="7" t="n">
        <v>135</v>
      </c>
      <c r="E140" s="7" t="s">
        <v>18</v>
      </c>
    </row>
    <row r="141" customFormat="false" ht="15" hidden="false" customHeight="false" outlineLevel="0" collapsed="false">
      <c r="A141" s="4" t="n">
        <v>46392</v>
      </c>
      <c r="B141" s="5" t="s">
        <v>10</v>
      </c>
      <c r="C141" s="6" t="n">
        <v>552</v>
      </c>
      <c r="D141" s="7" t="n">
        <v>136</v>
      </c>
      <c r="E141" s="7" t="s">
        <v>18</v>
      </c>
    </row>
    <row r="142" customFormat="false" ht="15" hidden="false" customHeight="false" outlineLevel="0" collapsed="false">
      <c r="A142" s="4" t="n">
        <v>46393</v>
      </c>
      <c r="B142" s="5" t="s">
        <v>11</v>
      </c>
      <c r="C142" s="6" t="n">
        <v>547</v>
      </c>
      <c r="D142" s="7" t="n">
        <v>137</v>
      </c>
      <c r="E142" s="7" t="s">
        <v>18</v>
      </c>
    </row>
    <row r="143" customFormat="false" ht="15" hidden="false" customHeight="false" outlineLevel="0" collapsed="false">
      <c r="A143" s="4" t="n">
        <v>46394</v>
      </c>
      <c r="B143" s="5" t="s">
        <v>12</v>
      </c>
      <c r="C143" s="6" t="n">
        <v>539</v>
      </c>
      <c r="D143" s="7" t="n">
        <v>138</v>
      </c>
      <c r="E143" s="7" t="s">
        <v>18</v>
      </c>
    </row>
    <row r="144" customFormat="false" ht="15" hidden="false" customHeight="false" outlineLevel="0" collapsed="false">
      <c r="A144" s="4" t="n">
        <v>46395</v>
      </c>
      <c r="B144" s="5" t="s">
        <v>13</v>
      </c>
      <c r="C144" s="6" t="n">
        <v>525</v>
      </c>
      <c r="D144" s="7" t="n">
        <v>139</v>
      </c>
      <c r="E144" s="7" t="s">
        <v>18</v>
      </c>
    </row>
    <row r="145" customFormat="false" ht="15" hidden="false" customHeight="false" outlineLevel="0" collapsed="false">
      <c r="A145" s="4" t="n">
        <v>46396</v>
      </c>
      <c r="B145" s="5" t="s">
        <v>7</v>
      </c>
      <c r="C145" s="6" t="n">
        <v>525</v>
      </c>
      <c r="D145" s="7" t="n">
        <v>140</v>
      </c>
      <c r="E145" s="7" t="s">
        <v>18</v>
      </c>
    </row>
    <row r="146" customFormat="false" ht="15" hidden="false" customHeight="false" outlineLevel="0" collapsed="false">
      <c r="A146" s="4" t="n">
        <v>46397</v>
      </c>
      <c r="B146" s="5" t="s">
        <v>9</v>
      </c>
      <c r="C146" s="6" t="n">
        <v>542</v>
      </c>
      <c r="D146" s="7" t="n">
        <v>141</v>
      </c>
      <c r="E146" s="7" t="s">
        <v>18</v>
      </c>
    </row>
    <row r="147" customFormat="false" ht="15" hidden="false" customHeight="false" outlineLevel="0" collapsed="false">
      <c r="A147" s="4" t="n">
        <v>46398</v>
      </c>
      <c r="B147" s="5" t="s">
        <v>6</v>
      </c>
      <c r="C147" s="6" t="n">
        <v>563</v>
      </c>
      <c r="D147" s="7" t="n">
        <v>142</v>
      </c>
      <c r="E147" s="7" t="s">
        <v>18</v>
      </c>
    </row>
    <row r="148" customFormat="false" ht="15" hidden="false" customHeight="false" outlineLevel="0" collapsed="false">
      <c r="A148" s="4" t="n">
        <v>46399</v>
      </c>
      <c r="B148" s="5" t="s">
        <v>10</v>
      </c>
      <c r="C148" s="6" t="n">
        <v>565</v>
      </c>
      <c r="D148" s="7" t="n">
        <v>143</v>
      </c>
      <c r="E148" s="7" t="s">
        <v>18</v>
      </c>
    </row>
    <row r="149" customFormat="false" ht="15" hidden="false" customHeight="false" outlineLevel="0" collapsed="false">
      <c r="A149" s="4" t="n">
        <v>46400</v>
      </c>
      <c r="B149" s="5" t="s">
        <v>11</v>
      </c>
      <c r="C149" s="6" t="n">
        <v>573</v>
      </c>
      <c r="D149" s="7" t="n">
        <v>144</v>
      </c>
      <c r="E149" s="7" t="s">
        <v>18</v>
      </c>
    </row>
    <row r="150" customFormat="false" ht="15" hidden="false" customHeight="false" outlineLevel="0" collapsed="false">
      <c r="A150" s="4" t="n">
        <v>46401</v>
      </c>
      <c r="B150" s="5" t="s">
        <v>12</v>
      </c>
      <c r="C150" s="6" t="n">
        <v>576</v>
      </c>
      <c r="D150" s="7" t="n">
        <v>145</v>
      </c>
      <c r="E150" s="7" t="s">
        <v>18</v>
      </c>
    </row>
    <row r="151" customFormat="false" ht="15" hidden="false" customHeight="false" outlineLevel="0" collapsed="false">
      <c r="A151" s="4" t="n">
        <v>46402</v>
      </c>
      <c r="B151" s="5" t="s">
        <v>13</v>
      </c>
      <c r="C151" s="6" t="n">
        <v>549</v>
      </c>
      <c r="D151" s="7" t="n">
        <v>146</v>
      </c>
      <c r="E151" s="7" t="s">
        <v>18</v>
      </c>
    </row>
    <row r="152" customFormat="false" ht="15" hidden="false" customHeight="false" outlineLevel="0" collapsed="false">
      <c r="A152" s="4" t="n">
        <v>46403</v>
      </c>
      <c r="B152" s="5" t="s">
        <v>7</v>
      </c>
      <c r="C152" s="6" t="n">
        <v>543</v>
      </c>
      <c r="D152" s="7" t="n">
        <v>147</v>
      </c>
      <c r="E152" s="7" t="s">
        <v>18</v>
      </c>
    </row>
    <row r="153" customFormat="false" ht="15" hidden="false" customHeight="false" outlineLevel="0" collapsed="false">
      <c r="A153" s="4" t="n">
        <v>46404</v>
      </c>
      <c r="B153" s="5" t="s">
        <v>9</v>
      </c>
      <c r="C153" s="6" t="n">
        <v>580</v>
      </c>
      <c r="D153" s="7" t="n">
        <v>148</v>
      </c>
      <c r="E153" s="7" t="s">
        <v>18</v>
      </c>
    </row>
    <row r="154" customFormat="false" ht="15" hidden="false" customHeight="false" outlineLevel="0" collapsed="false">
      <c r="A154" s="4" t="n">
        <v>46405</v>
      </c>
      <c r="B154" s="5" t="s">
        <v>6</v>
      </c>
      <c r="C154" s="6" t="n">
        <v>590</v>
      </c>
      <c r="D154" s="7" t="n">
        <v>149</v>
      </c>
      <c r="E154" s="7" t="s">
        <v>18</v>
      </c>
    </row>
    <row r="155" customFormat="false" ht="15" hidden="false" customHeight="false" outlineLevel="0" collapsed="false">
      <c r="A155" s="4" t="n">
        <v>46406</v>
      </c>
      <c r="B155" s="5" t="s">
        <v>10</v>
      </c>
      <c r="C155" s="6" t="n">
        <v>585</v>
      </c>
      <c r="D155" s="7" t="n">
        <v>150</v>
      </c>
      <c r="E155" s="7" t="s">
        <v>18</v>
      </c>
    </row>
    <row r="156" customFormat="false" ht="15" hidden="false" customHeight="false" outlineLevel="0" collapsed="false">
      <c r="A156" s="4" t="n">
        <v>46407</v>
      </c>
      <c r="B156" s="5" t="s">
        <v>11</v>
      </c>
      <c r="C156" s="6" t="n">
        <v>593</v>
      </c>
      <c r="D156" s="7" t="n">
        <v>151</v>
      </c>
      <c r="E156" s="7" t="s">
        <v>18</v>
      </c>
    </row>
    <row r="157" customFormat="false" ht="15" hidden="false" customHeight="false" outlineLevel="0" collapsed="false">
      <c r="A157" s="4" t="n">
        <v>46408</v>
      </c>
      <c r="B157" s="5" t="s">
        <v>12</v>
      </c>
      <c r="C157" s="6" t="n">
        <v>580</v>
      </c>
      <c r="D157" s="7" t="n">
        <v>152</v>
      </c>
      <c r="E157" s="7" t="s">
        <v>18</v>
      </c>
    </row>
    <row r="158" customFormat="false" ht="15" hidden="false" customHeight="false" outlineLevel="0" collapsed="false">
      <c r="A158" s="4" t="n">
        <v>46409</v>
      </c>
      <c r="B158" s="5" t="s">
        <v>13</v>
      </c>
      <c r="C158" s="6" t="n">
        <v>564</v>
      </c>
      <c r="D158" s="7" t="n">
        <v>153</v>
      </c>
      <c r="E158" s="7" t="s">
        <v>18</v>
      </c>
    </row>
    <row r="159" customFormat="false" ht="15" hidden="false" customHeight="false" outlineLevel="0" collapsed="false">
      <c r="A159" s="4" t="n">
        <v>46410</v>
      </c>
      <c r="B159" s="5" t="s">
        <v>7</v>
      </c>
      <c r="C159" s="6" t="n">
        <v>565</v>
      </c>
      <c r="D159" s="7" t="n">
        <v>154</v>
      </c>
      <c r="E159" s="7" t="s">
        <v>18</v>
      </c>
    </row>
    <row r="160" customFormat="false" ht="15" hidden="false" customHeight="false" outlineLevel="0" collapsed="false">
      <c r="A160" s="4" t="n">
        <v>46411</v>
      </c>
      <c r="B160" s="5" t="s">
        <v>9</v>
      </c>
      <c r="C160" s="6" t="n">
        <v>591</v>
      </c>
      <c r="D160" s="7" t="n">
        <v>155</v>
      </c>
      <c r="E160" s="7" t="s">
        <v>18</v>
      </c>
    </row>
    <row r="161" customFormat="false" ht="15" hidden="false" customHeight="false" outlineLevel="0" collapsed="false">
      <c r="A161" s="4" t="n">
        <v>46412</v>
      </c>
      <c r="B161" s="5" t="s">
        <v>6</v>
      </c>
      <c r="C161" s="6" t="n">
        <v>592</v>
      </c>
      <c r="D161" s="7" t="n">
        <v>156</v>
      </c>
      <c r="E161" s="7" t="s">
        <v>18</v>
      </c>
    </row>
    <row r="162" customFormat="false" ht="15" hidden="false" customHeight="false" outlineLevel="0" collapsed="false">
      <c r="A162" s="4" t="n">
        <v>46413</v>
      </c>
      <c r="B162" s="5" t="s">
        <v>10</v>
      </c>
      <c r="C162" s="6" t="n">
        <v>588</v>
      </c>
      <c r="D162" s="7" t="n">
        <v>157</v>
      </c>
      <c r="E162" s="7" t="s">
        <v>18</v>
      </c>
    </row>
    <row r="163" customFormat="false" ht="15" hidden="false" customHeight="false" outlineLevel="0" collapsed="false">
      <c r="A163" s="4" t="n">
        <v>46414</v>
      </c>
      <c r="B163" s="5" t="s">
        <v>11</v>
      </c>
      <c r="C163" s="6" t="n">
        <v>589</v>
      </c>
      <c r="D163" s="7" t="n">
        <v>158</v>
      </c>
      <c r="E163" s="7" t="s">
        <v>18</v>
      </c>
    </row>
    <row r="164" customFormat="false" ht="15" hidden="false" customHeight="false" outlineLevel="0" collapsed="false">
      <c r="A164" s="4" t="n">
        <v>46415</v>
      </c>
      <c r="B164" s="5" t="s">
        <v>12</v>
      </c>
      <c r="C164" s="6" t="n">
        <v>591</v>
      </c>
      <c r="D164" s="7" t="n">
        <v>159</v>
      </c>
      <c r="E164" s="7" t="s">
        <v>18</v>
      </c>
    </row>
    <row r="165" customFormat="false" ht="15" hidden="false" customHeight="false" outlineLevel="0" collapsed="false">
      <c r="A165" s="4" t="n">
        <v>46416</v>
      </c>
      <c r="B165" s="5" t="s">
        <v>13</v>
      </c>
      <c r="C165" s="6" t="n">
        <v>584</v>
      </c>
      <c r="D165" s="7" t="n">
        <v>160</v>
      </c>
      <c r="E165" s="7" t="s">
        <v>18</v>
      </c>
    </row>
    <row r="166" customFormat="false" ht="15" hidden="false" customHeight="false" outlineLevel="0" collapsed="false">
      <c r="A166" s="4" t="n">
        <v>46417</v>
      </c>
      <c r="B166" s="5" t="s">
        <v>7</v>
      </c>
      <c r="C166" s="6" t="n">
        <v>576</v>
      </c>
      <c r="D166" s="7" t="n">
        <v>161</v>
      </c>
      <c r="E166" s="7" t="s">
        <v>18</v>
      </c>
    </row>
    <row r="167" customFormat="false" ht="15" hidden="false" customHeight="false" outlineLevel="0" collapsed="false">
      <c r="A167" s="4" t="n">
        <v>46418</v>
      </c>
      <c r="B167" s="5" t="s">
        <v>9</v>
      </c>
      <c r="C167" s="6" t="n">
        <v>611</v>
      </c>
      <c r="D167" s="7" t="n">
        <v>162</v>
      </c>
      <c r="E167" s="7" t="s">
        <v>18</v>
      </c>
    </row>
    <row r="168" customFormat="false" ht="15" hidden="false" customHeight="false" outlineLevel="0" collapsed="false">
      <c r="A168" s="4" t="n">
        <v>46419</v>
      </c>
      <c r="B168" s="5" t="s">
        <v>6</v>
      </c>
      <c r="C168" s="6" t="n">
        <v>620</v>
      </c>
      <c r="D168" s="7" t="n">
        <v>163</v>
      </c>
      <c r="E168" s="7" t="s">
        <v>19</v>
      </c>
    </row>
    <row r="169" customFormat="false" ht="15" hidden="false" customHeight="false" outlineLevel="0" collapsed="false">
      <c r="A169" s="4" t="n">
        <v>46420</v>
      </c>
      <c r="B169" s="5" t="s">
        <v>10</v>
      </c>
      <c r="C169" s="6" t="n">
        <v>609</v>
      </c>
      <c r="D169" s="7" t="n">
        <v>164</v>
      </c>
      <c r="E169" s="7" t="s">
        <v>19</v>
      </c>
    </row>
    <row r="170" customFormat="false" ht="15" hidden="false" customHeight="false" outlineLevel="0" collapsed="false">
      <c r="A170" s="4" t="n">
        <v>46421</v>
      </c>
      <c r="B170" s="5" t="s">
        <v>11</v>
      </c>
      <c r="C170" s="6" t="n">
        <v>608</v>
      </c>
      <c r="D170" s="7" t="n">
        <v>165</v>
      </c>
      <c r="E170" s="7" t="s">
        <v>19</v>
      </c>
    </row>
    <row r="171" customFormat="false" ht="15" hidden="false" customHeight="false" outlineLevel="0" collapsed="false">
      <c r="A171" s="4" t="n">
        <v>46422</v>
      </c>
      <c r="B171" s="5" t="s">
        <v>12</v>
      </c>
      <c r="C171" s="6" t="n">
        <v>605</v>
      </c>
      <c r="D171" s="7" t="n">
        <v>166</v>
      </c>
      <c r="E171" s="7" t="s">
        <v>19</v>
      </c>
    </row>
    <row r="172" customFormat="false" ht="15" hidden="false" customHeight="false" outlineLevel="0" collapsed="false">
      <c r="A172" s="4" t="n">
        <v>46423</v>
      </c>
      <c r="B172" s="5" t="s">
        <v>13</v>
      </c>
      <c r="C172" s="6" t="n">
        <v>578</v>
      </c>
      <c r="D172" s="7" t="n">
        <v>167</v>
      </c>
      <c r="E172" s="7" t="s">
        <v>19</v>
      </c>
    </row>
    <row r="173" customFormat="false" ht="15" hidden="false" customHeight="false" outlineLevel="0" collapsed="false">
      <c r="A173" s="4" t="n">
        <v>46424</v>
      </c>
      <c r="B173" s="5" t="s">
        <v>7</v>
      </c>
      <c r="C173" s="6" t="n">
        <v>558</v>
      </c>
      <c r="D173" s="7" t="n">
        <v>168</v>
      </c>
      <c r="E173" s="7" t="s">
        <v>19</v>
      </c>
    </row>
    <row r="174" customFormat="false" ht="15" hidden="false" customHeight="false" outlineLevel="0" collapsed="false">
      <c r="A174" s="4" t="n">
        <v>46425</v>
      </c>
      <c r="B174" s="5" t="s">
        <v>9</v>
      </c>
      <c r="C174" s="6" t="n">
        <v>577</v>
      </c>
      <c r="D174" s="7" t="n">
        <v>169</v>
      </c>
      <c r="E174" s="7" t="s">
        <v>19</v>
      </c>
    </row>
    <row r="175" customFormat="false" ht="15" hidden="false" customHeight="false" outlineLevel="0" collapsed="false">
      <c r="A175" s="4" t="n">
        <v>46426</v>
      </c>
      <c r="B175" s="5" t="s">
        <v>6</v>
      </c>
      <c r="C175" s="6" t="n">
        <v>575</v>
      </c>
      <c r="D175" s="7" t="n">
        <v>170</v>
      </c>
      <c r="E175" s="7" t="s">
        <v>19</v>
      </c>
    </row>
    <row r="176" customFormat="false" ht="15" hidden="false" customHeight="false" outlineLevel="0" collapsed="false">
      <c r="A176" s="4" t="n">
        <v>46427</v>
      </c>
      <c r="B176" s="5" t="s">
        <v>10</v>
      </c>
      <c r="C176" s="6" t="n">
        <v>593</v>
      </c>
      <c r="D176" s="7" t="n">
        <v>171</v>
      </c>
      <c r="E176" s="7" t="s">
        <v>19</v>
      </c>
    </row>
    <row r="177" customFormat="false" ht="15" hidden="false" customHeight="false" outlineLevel="0" collapsed="false">
      <c r="A177" s="4" t="n">
        <v>46428</v>
      </c>
      <c r="B177" s="5" t="s">
        <v>11</v>
      </c>
      <c r="C177" s="6" t="n">
        <v>596</v>
      </c>
      <c r="D177" s="7" t="n">
        <v>172</v>
      </c>
      <c r="E177" s="7" t="s">
        <v>19</v>
      </c>
    </row>
    <row r="178" customFormat="false" ht="15" hidden="false" customHeight="false" outlineLevel="0" collapsed="false">
      <c r="A178" s="4" t="n">
        <v>46429</v>
      </c>
      <c r="B178" s="5" t="s">
        <v>12</v>
      </c>
      <c r="C178" s="6" t="n">
        <v>585</v>
      </c>
      <c r="D178" s="7" t="n">
        <v>173</v>
      </c>
      <c r="E178" s="7" t="s">
        <v>19</v>
      </c>
    </row>
    <row r="179" customFormat="false" ht="15" hidden="false" customHeight="false" outlineLevel="0" collapsed="false">
      <c r="A179" s="4" t="n">
        <v>46430</v>
      </c>
      <c r="B179" s="5" t="s">
        <v>13</v>
      </c>
      <c r="C179" s="6" t="n">
        <v>574</v>
      </c>
      <c r="D179" s="7" t="n">
        <v>174</v>
      </c>
      <c r="E179" s="7" t="s">
        <v>19</v>
      </c>
    </row>
    <row r="180" customFormat="false" ht="15" hidden="false" customHeight="false" outlineLevel="0" collapsed="false">
      <c r="A180" s="4" t="n">
        <v>46431</v>
      </c>
      <c r="B180" s="5" t="s">
        <v>7</v>
      </c>
      <c r="C180" s="6" t="n">
        <v>572</v>
      </c>
      <c r="D180" s="7" t="n">
        <v>175</v>
      </c>
      <c r="E180" s="7" t="s">
        <v>19</v>
      </c>
    </row>
    <row r="181" customFormat="false" ht="15" hidden="false" customHeight="false" outlineLevel="0" collapsed="false">
      <c r="A181" s="4" t="n">
        <v>46432</v>
      </c>
      <c r="B181" s="5" t="s">
        <v>9</v>
      </c>
      <c r="C181" s="6" t="n">
        <v>609</v>
      </c>
      <c r="D181" s="7" t="n">
        <v>176</v>
      </c>
      <c r="E181" s="7" t="s">
        <v>19</v>
      </c>
    </row>
    <row r="182" customFormat="false" ht="15" hidden="false" customHeight="false" outlineLevel="0" collapsed="false">
      <c r="A182" s="4" t="n">
        <v>46433</v>
      </c>
      <c r="B182" s="5" t="s">
        <v>6</v>
      </c>
      <c r="C182" s="6" t="n">
        <v>613</v>
      </c>
      <c r="D182" s="7" t="n">
        <v>177</v>
      </c>
      <c r="E182" s="7" t="s">
        <v>19</v>
      </c>
    </row>
    <row r="183" customFormat="false" ht="15" hidden="false" customHeight="false" outlineLevel="0" collapsed="false">
      <c r="A183" s="4" t="n">
        <v>46434</v>
      </c>
      <c r="B183" s="5" t="s">
        <v>10</v>
      </c>
      <c r="C183" s="6" t="n">
        <v>604</v>
      </c>
      <c r="D183" s="7" t="n">
        <v>178</v>
      </c>
      <c r="E183" s="7" t="s">
        <v>19</v>
      </c>
    </row>
    <row r="184" customFormat="false" ht="15" hidden="false" customHeight="false" outlineLevel="0" collapsed="false">
      <c r="A184" s="4" t="n">
        <v>46435</v>
      </c>
      <c r="B184" s="5" t="s">
        <v>11</v>
      </c>
      <c r="C184" s="6" t="n">
        <v>595</v>
      </c>
      <c r="D184" s="7" t="n">
        <v>179</v>
      </c>
      <c r="E184" s="7" t="s">
        <v>19</v>
      </c>
    </row>
    <row r="185" customFormat="false" ht="15" hidden="false" customHeight="false" outlineLevel="0" collapsed="false">
      <c r="A185" s="4" t="n">
        <v>46436</v>
      </c>
      <c r="B185" s="5" t="s">
        <v>12</v>
      </c>
      <c r="C185" s="6" t="n">
        <v>520</v>
      </c>
      <c r="D185" s="7" t="n">
        <v>180</v>
      </c>
      <c r="E185" s="7" t="s">
        <v>19</v>
      </c>
    </row>
    <row r="186" customFormat="false" ht="15" hidden="false" customHeight="false" outlineLevel="0" collapsed="false">
      <c r="A186" s="4" t="n">
        <v>46437</v>
      </c>
      <c r="B186" s="5" t="s">
        <v>13</v>
      </c>
      <c r="C186" s="6" t="n">
        <v>500</v>
      </c>
      <c r="D186" s="7" t="n">
        <v>181</v>
      </c>
      <c r="E186" s="7" t="s">
        <v>19</v>
      </c>
    </row>
    <row r="187" customFormat="false" ht="15" hidden="false" customHeight="false" outlineLevel="0" collapsed="false">
      <c r="A187" s="4" t="n">
        <v>46438</v>
      </c>
      <c r="B187" s="5" t="s">
        <v>7</v>
      </c>
      <c r="C187" s="6" t="n">
        <v>499</v>
      </c>
      <c r="D187" s="7" t="n">
        <v>182</v>
      </c>
      <c r="E187" s="7" t="s">
        <v>19</v>
      </c>
    </row>
    <row r="188" customFormat="false" ht="15" hidden="false" customHeight="false" outlineLevel="0" collapsed="false">
      <c r="A188" s="4" t="n">
        <v>46439</v>
      </c>
      <c r="B188" s="5" t="s">
        <v>9</v>
      </c>
      <c r="C188" s="6" t="n">
        <v>525</v>
      </c>
      <c r="D188" s="7" t="n">
        <v>183</v>
      </c>
      <c r="E188" s="7" t="s">
        <v>19</v>
      </c>
    </row>
    <row r="190" customFormat="false" ht="15" hidden="false" customHeight="false" outlineLevel="0" collapsed="false">
      <c r="A190" s="8" t="s">
        <v>20</v>
      </c>
    </row>
    <row r="191" customFormat="false" ht="15" hidden="false" customHeight="false" outlineLevel="0" collapsed="false">
      <c r="A191" s="9" t="s">
        <v>21</v>
      </c>
      <c r="B191" s="10" t="n">
        <f aca="false">MIN(C5:C188)</f>
        <v>199</v>
      </c>
    </row>
    <row r="192" customFormat="false" ht="15" hidden="false" customHeight="false" outlineLevel="0" collapsed="false">
      <c r="A192" s="9" t="s">
        <v>22</v>
      </c>
      <c r="B192" s="10" t="n">
        <f aca="false">MAX(C5:C188)</f>
        <v>620</v>
      </c>
    </row>
    <row r="193" customFormat="false" ht="15" hidden="false" customHeight="false" outlineLevel="0" collapsed="false">
      <c r="A193" s="9" t="s">
        <v>23</v>
      </c>
      <c r="B193" s="10" t="n">
        <f aca="false">ROUND(AVERAGE(C5:C188),0)</f>
        <v>449</v>
      </c>
    </row>
    <row r="194" customFormat="false" ht="15" hidden="false" customHeight="false" outlineLevel="0" collapsed="false">
      <c r="A194" s="9" t="s">
        <v>24</v>
      </c>
      <c r="B194" s="10" t="n">
        <f aca="false">ROUND(MEDIAN(C5:C188),0)</f>
        <v>454</v>
      </c>
    </row>
    <row r="195" customFormat="false" ht="15" hidden="false" customHeight="false" outlineLevel="0" collapsed="false">
      <c r="A195" s="9" t="s">
        <v>25</v>
      </c>
      <c r="B195" s="10" t="n">
        <f aca="false">COUNT(C5:C188)</f>
        <v>184</v>
      </c>
    </row>
    <row r="197" customFormat="false" ht="15" hidden="false" customHeight="false" outlineLevel="0" collapsed="false">
      <c r="A197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0"/>
    <col collapsed="false" customWidth="true" hidden="false" outlineLevel="0" max="5" min="5" style="0" width="8"/>
  </cols>
  <sheetData>
    <row r="1" customFormat="false" ht="17.35" hidden="false" customHeight="false" outlineLevel="0" collapsed="false">
      <c r="A1" s="11" t="s">
        <v>27</v>
      </c>
    </row>
    <row r="3" customFormat="false" ht="15" hidden="false" customHeight="false" outlineLevel="0" collapsed="false">
      <c r="A3" s="3" t="s">
        <v>6</v>
      </c>
      <c r="B3" s="3" t="s">
        <v>28</v>
      </c>
      <c r="C3" s="3" t="s">
        <v>21</v>
      </c>
      <c r="D3" s="3" t="s">
        <v>22</v>
      </c>
      <c r="E3" s="3" t="s">
        <v>29</v>
      </c>
    </row>
    <row r="4" customFormat="false" ht="15" hidden="false" customHeight="false" outlineLevel="0" collapsed="false">
      <c r="A4" s="12" t="s">
        <v>8</v>
      </c>
      <c r="B4" s="6" t="n">
        <f aca="false">ROUND(AVERAGEIFS(日別データ!$C$5:$C$188,日別データ!$E$5:$E$188,$A4),0)</f>
        <v>443</v>
      </c>
      <c r="C4" s="6" t="n">
        <f aca="false">_xlfn.MINIFS(日別データ!$C$5:$C$188,日別データ!$E$5:$E$188,$A4)</f>
        <v>202</v>
      </c>
      <c r="D4" s="6" t="n">
        <f aca="false">_xlfn.MAXIFS(日別データ!$C$5:$C$188,日別データ!$E$5:$E$188,$A4)</f>
        <v>563</v>
      </c>
      <c r="E4" s="12" t="n">
        <f aca="false">COUNTIFS(日別データ!$E$5:$E$188,$A4)</f>
        <v>10</v>
      </c>
    </row>
    <row r="5" customFormat="false" ht="15" hidden="false" customHeight="false" outlineLevel="0" collapsed="false">
      <c r="A5" s="12" t="s">
        <v>14</v>
      </c>
      <c r="B5" s="6" t="n">
        <f aca="false">ROUND(AVERAGEIFS(日別データ!$C$5:$C$188,日別データ!$E$5:$E$188,$A5),0)</f>
        <v>425</v>
      </c>
      <c r="C5" s="6" t="n">
        <f aca="false">_xlfn.MINIFS(日別データ!$C$5:$C$188,日別データ!$E$5:$E$188,$A5)</f>
        <v>199</v>
      </c>
      <c r="D5" s="6" t="n">
        <f aca="false">_xlfn.MAXIFS(日別データ!$C$5:$C$188,日別データ!$E$5:$E$188,$A5)</f>
        <v>525</v>
      </c>
      <c r="E5" s="12" t="n">
        <f aca="false">COUNTIFS(日別データ!$E$5:$E$188,$A5)</f>
        <v>30</v>
      </c>
    </row>
    <row r="6" customFormat="false" ht="15" hidden="false" customHeight="false" outlineLevel="0" collapsed="false">
      <c r="A6" s="12" t="s">
        <v>15</v>
      </c>
      <c r="B6" s="6" t="n">
        <f aca="false">ROUND(AVERAGEIFS(日別データ!$C$5:$C$188,日別データ!$E$5:$E$188,$A6),0)</f>
        <v>323</v>
      </c>
      <c r="C6" s="6" t="n">
        <f aca="false">_xlfn.MINIFS(日別データ!$C$5:$C$188,日別データ!$E$5:$E$188,$A6)</f>
        <v>222</v>
      </c>
      <c r="D6" s="6" t="n">
        <f aca="false">_xlfn.MAXIFS(日別データ!$C$5:$C$188,日別データ!$E$5:$E$188,$A6)</f>
        <v>378</v>
      </c>
      <c r="E6" s="12" t="n">
        <f aca="false">COUNTIFS(日別データ!$E$5:$E$188,$A6)</f>
        <v>31</v>
      </c>
    </row>
    <row r="7" customFormat="false" ht="15" hidden="false" customHeight="false" outlineLevel="0" collapsed="false">
      <c r="A7" s="12" t="s">
        <v>16</v>
      </c>
      <c r="B7" s="6" t="n">
        <f aca="false">ROUND(AVERAGEIFS(日別データ!$C$5:$C$188,日別データ!$E$5:$E$188,$A7),0)</f>
        <v>403</v>
      </c>
      <c r="C7" s="6" t="n">
        <f aca="false">_xlfn.MINIFS(日別データ!$C$5:$C$188,日別データ!$E$5:$E$188,$A7)</f>
        <v>305</v>
      </c>
      <c r="D7" s="6" t="n">
        <f aca="false">_xlfn.MAXIFS(日別データ!$C$5:$C$188,日別データ!$E$5:$E$188,$A7)</f>
        <v>484</v>
      </c>
      <c r="E7" s="12" t="n">
        <f aca="false">COUNTIFS(日別データ!$E$5:$E$188,$A7)</f>
        <v>30</v>
      </c>
    </row>
    <row r="8" customFormat="false" ht="15" hidden="false" customHeight="false" outlineLevel="0" collapsed="false">
      <c r="A8" s="12" t="s">
        <v>17</v>
      </c>
      <c r="B8" s="6" t="n">
        <f aca="false">ROUND(AVERAGEIFS(日別データ!$C$5:$C$188,日別データ!$E$5:$E$188,$A8),0)</f>
        <v>457</v>
      </c>
      <c r="C8" s="6" t="n">
        <f aca="false">_xlfn.MINIFS(日別データ!$C$5:$C$188,日別データ!$E$5:$E$188,$A8)</f>
        <v>306</v>
      </c>
      <c r="D8" s="6" t="n">
        <f aca="false">_xlfn.MAXIFS(日別データ!$C$5:$C$188,日別データ!$E$5:$E$188,$A8)</f>
        <v>524</v>
      </c>
      <c r="E8" s="12" t="n">
        <f aca="false">COUNTIFS(日別データ!$E$5:$E$188,$A8)</f>
        <v>31</v>
      </c>
    </row>
    <row r="9" customFormat="false" ht="15" hidden="false" customHeight="false" outlineLevel="0" collapsed="false">
      <c r="A9" s="12" t="s">
        <v>18</v>
      </c>
      <c r="B9" s="6" t="n">
        <f aca="false">ROUND(AVERAGEIFS(日別データ!$C$5:$C$188,日別データ!$E$5:$E$188,$A9),0)</f>
        <v>553</v>
      </c>
      <c r="C9" s="6" t="n">
        <f aca="false">_xlfn.MINIFS(日別データ!$C$5:$C$188,日別データ!$E$5:$E$188,$A9)</f>
        <v>337</v>
      </c>
      <c r="D9" s="6" t="n">
        <f aca="false">_xlfn.MAXIFS(日別データ!$C$5:$C$188,日別データ!$E$5:$E$188,$A9)</f>
        <v>611</v>
      </c>
      <c r="E9" s="12" t="n">
        <f aca="false">COUNTIFS(日別データ!$E$5:$E$188,$A9)</f>
        <v>31</v>
      </c>
    </row>
    <row r="10" customFormat="false" ht="15" hidden="false" customHeight="false" outlineLevel="0" collapsed="false">
      <c r="A10" s="12" t="s">
        <v>19</v>
      </c>
      <c r="B10" s="6" t="n">
        <f aca="false">ROUND(AVERAGEIFS(日別データ!$C$5:$C$188,日別データ!$E$5:$E$188,$A10),0)</f>
        <v>577</v>
      </c>
      <c r="C10" s="6" t="n">
        <f aca="false">_xlfn.MINIFS(日別データ!$C$5:$C$188,日別データ!$E$5:$E$188,$A10)</f>
        <v>499</v>
      </c>
      <c r="D10" s="6" t="n">
        <f aca="false">_xlfn.MAXIFS(日別データ!$C$5:$C$188,日別データ!$E$5:$E$188,$A10)</f>
        <v>620</v>
      </c>
      <c r="E10" s="12" t="n">
        <f aca="false">COUNTIFS(日別データ!$E$5:$E$188,$A10)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2026-08-22T11:13:08Z</dcterms:created>
  <dc:creator>openpyxl</dc:creator>
  <dc:description/>
  <dc:language>en-US</dc:language>
  <cp:lastModifiedBy/>
  <dcterms:modified xsi:type="dcterms:W3CDTF">2026-08-22T20:13:08Z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