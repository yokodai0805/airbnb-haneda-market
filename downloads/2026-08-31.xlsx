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Data" sheetId="1" r:id="rId1"/>
    <sheet name="Monthly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"/>
  <sheetViews>
    <sheetView workbookViewId="0"/>
  </sheetViews>
  <cols>
    <col min="1" max="1" width="14.83203125" customWidth="1"/>
    <col min="2" max="2" width="7.83203125" customWidth="1"/>
    <col min="3" max="3" width="12.83203125" customWidth="1"/>
    <col min="4" max="4" width="12.83203125" customWidth="1"/>
    <col min="5" max="5" width="3.83203125" customWidth="1"/>
    <col min="6" max="6" width="52.83203125" customWidth="1"/>
    <col min="7" max="7" width="12.83203125" customWidth="1"/>
  </cols>
  <sheetData>
    <row r="1">
      <c r="A1" t="str">
        <v>日付</v>
      </c>
      <c r="B1" t="str">
        <v>曜日</v>
      </c>
      <c r="C1" t="str">
        <v>件数</v>
      </c>
      <c r="D1" t="str">
        <v>月</v>
      </c>
      <c r="F1" t="str">
        <v>統計（期間全体）</v>
      </c>
    </row>
    <row r="2">
      <c r="A2" t="str">
        <v>2026-08-31</v>
      </c>
      <c r="B2" t="str">
        <v>月</v>
      </c>
      <c r="C2">
        <v>364</v>
      </c>
      <c r="D2" t="str">
        <v>2026-08</v>
      </c>
      <c r="F2" t="str">
        <v>最小</v>
      </c>
      <c r="G2">
        <f>MIN(C2:C185)</f>
      </c>
    </row>
    <row r="3">
      <c r="A3" t="str">
        <v>2026-09-01</v>
      </c>
      <c r="B3" t="str">
        <v>火</v>
      </c>
      <c r="C3">
        <v>491</v>
      </c>
      <c r="D3" t="str">
        <v>2026-09</v>
      </c>
      <c r="F3" t="str">
        <v>最大</v>
      </c>
      <c r="G3">
        <f>MAX(C2:C185)</f>
      </c>
    </row>
    <row r="4">
      <c r="A4" t="str">
        <v>2026-09-02</v>
      </c>
      <c r="B4" t="str">
        <v>水</v>
      </c>
      <c r="C4">
        <v>480</v>
      </c>
      <c r="D4" t="str">
        <v>2026-09</v>
      </c>
      <c r="F4" t="str">
        <v>平均</v>
      </c>
      <c r="G4">
        <f>ROUND(AVERAGE(C2:C185),1)</f>
      </c>
    </row>
    <row r="5">
      <c r="A5" t="str">
        <v>2026-09-03</v>
      </c>
      <c r="B5" t="str">
        <v>木</v>
      </c>
      <c r="C5">
        <v>439</v>
      </c>
      <c r="D5" t="str">
        <v>2026-09</v>
      </c>
      <c r="F5" t="str">
        <v>中央値</v>
      </c>
      <c r="G5">
        <f>MEDIAN(C2:C185)</f>
      </c>
    </row>
    <row r="6">
      <c r="A6" t="str">
        <v>2026-09-04</v>
      </c>
      <c r="B6" t="str">
        <v>金</v>
      </c>
      <c r="C6">
        <v>381</v>
      </c>
      <c r="D6" t="str">
        <v>2026-09</v>
      </c>
      <c r="F6" t="str">
        <v>日数</v>
      </c>
      <c r="G6">
        <f>COUNT(C2:C185)</f>
      </c>
    </row>
    <row r="7">
      <c r="A7" t="str">
        <v>2026-09-05</v>
      </c>
      <c r="B7" t="str">
        <v>土</v>
      </c>
      <c r="C7">
        <v>339</v>
      </c>
      <c r="D7" t="str">
        <v>2026-09</v>
      </c>
    </row>
    <row r="8">
      <c r="A8" t="str">
        <v>2026-09-06</v>
      </c>
      <c r="B8" t="str">
        <v>日</v>
      </c>
      <c r="C8">
        <v>447</v>
      </c>
      <c r="D8" t="str">
        <v>2026-09</v>
      </c>
      <c r="F8" t="str">
        <v>節目</v>
      </c>
    </row>
    <row r="9">
      <c r="A9" t="str">
        <v>2026-09-07</v>
      </c>
      <c r="B9" t="str">
        <v>月</v>
      </c>
      <c r="C9">
        <v>475</v>
      </c>
      <c r="D9" t="str">
        <v>2026-09</v>
      </c>
      <c r="F9" t="str">
        <v>当日</v>
      </c>
      <c r="G9">
        <f>INDEX(C2:C185,1)</f>
      </c>
    </row>
    <row r="10">
      <c r="A10" t="str">
        <v>2026-09-08</v>
      </c>
      <c r="B10" t="str">
        <v>火</v>
      </c>
      <c r="C10">
        <v>462</v>
      </c>
      <c r="D10" t="str">
        <v>2026-09</v>
      </c>
      <c r="F10" t="str">
        <v>+7日</v>
      </c>
      <c r="G10">
        <f>INDEX(C2:C185,8)</f>
      </c>
    </row>
    <row r="11">
      <c r="A11" t="str">
        <v>2026-09-09</v>
      </c>
      <c r="B11" t="str">
        <v>水</v>
      </c>
      <c r="C11">
        <v>475</v>
      </c>
      <c r="D11" t="str">
        <v>2026-09</v>
      </c>
      <c r="F11" t="str">
        <v>+30日</v>
      </c>
      <c r="G11">
        <f>INDEX(C2:C185,31)</f>
      </c>
    </row>
    <row r="12">
      <c r="A12" t="str">
        <v>2026-09-10</v>
      </c>
      <c r="B12" t="str">
        <v>木</v>
      </c>
      <c r="C12">
        <v>447</v>
      </c>
      <c r="D12" t="str">
        <v>2026-09</v>
      </c>
      <c r="F12" t="str">
        <v>+60日</v>
      </c>
      <c r="G12">
        <f>INDEX(C2:C185,61)</f>
      </c>
    </row>
    <row r="13">
      <c r="A13" t="str">
        <v>2026-09-11</v>
      </c>
      <c r="B13" t="str">
        <v>金</v>
      </c>
      <c r="C13">
        <v>424</v>
      </c>
      <c r="D13" t="str">
        <v>2026-09</v>
      </c>
      <c r="F13" t="str">
        <v>+90日</v>
      </c>
      <c r="G13">
        <f>INDEX(C2:C185,91)</f>
      </c>
    </row>
    <row r="14">
      <c r="A14" t="str">
        <v>2026-09-12</v>
      </c>
      <c r="B14" t="str">
        <v>土</v>
      </c>
      <c r="C14">
        <v>367</v>
      </c>
      <c r="D14" t="str">
        <v>2026-09</v>
      </c>
      <c r="F14" t="str">
        <v>+180日</v>
      </c>
      <c r="G14">
        <f>INDEX(C2:C185,181)</f>
      </c>
    </row>
    <row r="15">
      <c r="A15" t="str">
        <v>2026-09-13</v>
      </c>
      <c r="B15" t="str">
        <v>日</v>
      </c>
      <c r="C15">
        <v>460</v>
      </c>
      <c r="D15" t="str">
        <v>2026-09</v>
      </c>
    </row>
    <row r="16">
      <c r="A16" t="str">
        <v>2026-09-14</v>
      </c>
      <c r="B16" t="str">
        <v>月</v>
      </c>
      <c r="C16">
        <v>464</v>
      </c>
      <c r="D16" t="str">
        <v>2026-09</v>
      </c>
      <c r="F16" t="str">
        <v>出典: Airbnb検索(Hanedakuko--Japan / まるまる貸切 / ゲストチョイス / 大人5名 / 1泊) 2026-08-31取得</v>
      </c>
    </row>
    <row r="17">
      <c r="A17" t="str">
        <v>2026-09-15</v>
      </c>
      <c r="B17" t="str">
        <v>火</v>
      </c>
      <c r="C17">
        <v>487</v>
      </c>
      <c r="D17" t="str">
        <v>2026-09</v>
      </c>
    </row>
    <row r="18">
      <c r="A18" t="str">
        <v>2026-09-16</v>
      </c>
      <c r="B18" t="str">
        <v>水</v>
      </c>
      <c r="C18">
        <v>474</v>
      </c>
      <c r="D18" t="str">
        <v>2026-09</v>
      </c>
    </row>
    <row r="19">
      <c r="A19" t="str">
        <v>2026-09-17</v>
      </c>
      <c r="B19" t="str">
        <v>木</v>
      </c>
      <c r="C19">
        <v>422</v>
      </c>
      <c r="D19" t="str">
        <v>2026-09</v>
      </c>
    </row>
    <row r="20">
      <c r="A20" t="str">
        <v>2026-09-18</v>
      </c>
      <c r="B20" t="str">
        <v>金</v>
      </c>
      <c r="C20">
        <v>355</v>
      </c>
      <c r="D20" t="str">
        <v>2026-09</v>
      </c>
    </row>
    <row r="21">
      <c r="A21" t="str">
        <v>2026-09-19</v>
      </c>
      <c r="B21" t="str">
        <v>土</v>
      </c>
      <c r="C21">
        <v>185</v>
      </c>
      <c r="D21" t="str">
        <v>2026-09</v>
      </c>
    </row>
    <row r="22">
      <c r="A22" t="str">
        <v>2026-09-20</v>
      </c>
      <c r="B22" t="str">
        <v>日</v>
      </c>
      <c r="C22">
        <v>131</v>
      </c>
      <c r="D22" t="str">
        <v>2026-09</v>
      </c>
    </row>
    <row r="23">
      <c r="A23" t="str">
        <v>2026-09-21</v>
      </c>
      <c r="B23" t="str">
        <v>月</v>
      </c>
      <c r="C23">
        <v>205</v>
      </c>
      <c r="D23" t="str">
        <v>2026-09</v>
      </c>
    </row>
    <row r="24">
      <c r="A24" t="str">
        <v>2026-09-22</v>
      </c>
      <c r="B24" t="str">
        <v>火</v>
      </c>
      <c r="C24">
        <v>290</v>
      </c>
      <c r="D24" t="str">
        <v>2026-09</v>
      </c>
    </row>
    <row r="25">
      <c r="A25" t="str">
        <v>2026-09-23</v>
      </c>
      <c r="B25" t="str">
        <v>水</v>
      </c>
      <c r="C25">
        <v>387</v>
      </c>
      <c r="D25" t="str">
        <v>2026-09</v>
      </c>
    </row>
    <row r="26">
      <c r="A26" t="str">
        <v>2026-09-24</v>
      </c>
      <c r="B26" t="str">
        <v>木</v>
      </c>
      <c r="C26">
        <v>387</v>
      </c>
      <c r="D26" t="str">
        <v>2026-09</v>
      </c>
    </row>
    <row r="27">
      <c r="A27" t="str">
        <v>2026-09-25</v>
      </c>
      <c r="B27" t="str">
        <v>金</v>
      </c>
      <c r="C27">
        <v>374</v>
      </c>
      <c r="D27" t="str">
        <v>2026-09</v>
      </c>
    </row>
    <row r="28">
      <c r="A28" t="str">
        <v>2026-09-26</v>
      </c>
      <c r="B28" t="str">
        <v>土</v>
      </c>
      <c r="C28">
        <v>357</v>
      </c>
      <c r="D28" t="str">
        <v>2026-09</v>
      </c>
    </row>
    <row r="29">
      <c r="A29" t="str">
        <v>2026-09-27</v>
      </c>
      <c r="B29" t="str">
        <v>日</v>
      </c>
      <c r="C29">
        <v>444</v>
      </c>
      <c r="D29" t="str">
        <v>2026-09</v>
      </c>
    </row>
    <row r="30">
      <c r="A30" t="str">
        <v>2026-09-28</v>
      </c>
      <c r="B30" t="str">
        <v>月</v>
      </c>
      <c r="C30">
        <v>455</v>
      </c>
      <c r="D30" t="str">
        <v>2026-09</v>
      </c>
    </row>
    <row r="31">
      <c r="A31" t="str">
        <v>2026-09-29</v>
      </c>
      <c r="B31" t="str">
        <v>火</v>
      </c>
      <c r="C31">
        <v>442</v>
      </c>
      <c r="D31" t="str">
        <v>2026-09</v>
      </c>
    </row>
    <row r="32">
      <c r="A32" t="str">
        <v>2026-09-30</v>
      </c>
      <c r="B32" t="str">
        <v>水</v>
      </c>
      <c r="C32">
        <v>400</v>
      </c>
      <c r="D32" t="str">
        <v>2026-09</v>
      </c>
    </row>
    <row r="33">
      <c r="A33" t="str">
        <v>2026-10-01</v>
      </c>
      <c r="B33" t="str">
        <v>木</v>
      </c>
      <c r="C33">
        <v>318</v>
      </c>
      <c r="D33" t="str">
        <v>2026-10</v>
      </c>
    </row>
    <row r="34">
      <c r="A34" t="str">
        <v>2026-10-02</v>
      </c>
      <c r="B34" t="str">
        <v>金</v>
      </c>
      <c r="C34">
        <v>264</v>
      </c>
      <c r="D34" t="str">
        <v>2026-10</v>
      </c>
    </row>
    <row r="35">
      <c r="A35" t="str">
        <v>2026-10-03</v>
      </c>
      <c r="B35" t="str">
        <v>土</v>
      </c>
      <c r="C35">
        <v>221</v>
      </c>
      <c r="D35" t="str">
        <v>2026-10</v>
      </c>
    </row>
    <row r="36">
      <c r="A36" t="str">
        <v>2026-10-04</v>
      </c>
      <c r="B36" t="str">
        <v>日</v>
      </c>
      <c r="C36">
        <v>266</v>
      </c>
      <c r="D36" t="str">
        <v>2026-10</v>
      </c>
    </row>
    <row r="37">
      <c r="A37" t="str">
        <v>2026-10-05</v>
      </c>
      <c r="B37" t="str">
        <v>月</v>
      </c>
      <c r="C37">
        <v>272</v>
      </c>
      <c r="D37" t="str">
        <v>2026-10</v>
      </c>
    </row>
    <row r="38">
      <c r="A38" t="str">
        <v>2026-10-06</v>
      </c>
      <c r="B38" t="str">
        <v>火</v>
      </c>
      <c r="C38">
        <v>305</v>
      </c>
      <c r="D38" t="str">
        <v>2026-10</v>
      </c>
    </row>
    <row r="39">
      <c r="A39" t="str">
        <v>2026-10-07</v>
      </c>
      <c r="B39" t="str">
        <v>水</v>
      </c>
      <c r="C39">
        <v>310</v>
      </c>
      <c r="D39" t="str">
        <v>2026-10</v>
      </c>
    </row>
    <row r="40">
      <c r="A40" t="str">
        <v>2026-10-08</v>
      </c>
      <c r="B40" t="str">
        <v>木</v>
      </c>
      <c r="C40">
        <v>268</v>
      </c>
      <c r="D40" t="str">
        <v>2026-10</v>
      </c>
    </row>
    <row r="41">
      <c r="A41" t="str">
        <v>2026-10-09</v>
      </c>
      <c r="B41" t="str">
        <v>金</v>
      </c>
      <c r="C41">
        <v>269</v>
      </c>
      <c r="D41" t="str">
        <v>2026-10</v>
      </c>
    </row>
    <row r="42">
      <c r="A42" t="str">
        <v>2026-10-10</v>
      </c>
      <c r="B42" t="str">
        <v>土</v>
      </c>
      <c r="C42">
        <v>190</v>
      </c>
      <c r="D42" t="str">
        <v>2026-10</v>
      </c>
    </row>
    <row r="43">
      <c r="A43" t="str">
        <v>2026-10-11</v>
      </c>
      <c r="B43" t="str">
        <v>日</v>
      </c>
      <c r="C43">
        <v>219</v>
      </c>
      <c r="D43" t="str">
        <v>2026-10</v>
      </c>
    </row>
    <row r="44">
      <c r="A44" t="str">
        <v>2026-10-12</v>
      </c>
      <c r="B44" t="str">
        <v>月</v>
      </c>
      <c r="C44">
        <v>301</v>
      </c>
      <c r="D44" t="str">
        <v>2026-10</v>
      </c>
    </row>
    <row r="45">
      <c r="A45" t="str">
        <v>2026-10-13</v>
      </c>
      <c r="B45" t="str">
        <v>火</v>
      </c>
      <c r="C45">
        <v>307</v>
      </c>
      <c r="D45" t="str">
        <v>2026-10</v>
      </c>
    </row>
    <row r="46">
      <c r="A46" t="str">
        <v>2026-10-14</v>
      </c>
      <c r="B46" t="str">
        <v>水</v>
      </c>
      <c r="C46">
        <v>323</v>
      </c>
      <c r="D46" t="str">
        <v>2026-10</v>
      </c>
    </row>
    <row r="47">
      <c r="A47" t="str">
        <v>2026-10-15</v>
      </c>
      <c r="B47" t="str">
        <v>木</v>
      </c>
      <c r="C47">
        <v>266</v>
      </c>
      <c r="D47" t="str">
        <v>2026-10</v>
      </c>
    </row>
    <row r="48">
      <c r="A48" t="str">
        <v>2026-10-16</v>
      </c>
      <c r="B48" t="str">
        <v>金</v>
      </c>
      <c r="C48">
        <v>249</v>
      </c>
      <c r="D48" t="str">
        <v>2026-10</v>
      </c>
    </row>
    <row r="49">
      <c r="A49" t="str">
        <v>2026-10-17</v>
      </c>
      <c r="B49" t="str">
        <v>土</v>
      </c>
      <c r="C49">
        <v>227</v>
      </c>
      <c r="D49" t="str">
        <v>2026-10</v>
      </c>
    </row>
    <row r="50">
      <c r="A50" t="str">
        <v>2026-10-18</v>
      </c>
      <c r="B50" t="str">
        <v>日</v>
      </c>
      <c r="C50">
        <v>285</v>
      </c>
      <c r="D50" t="str">
        <v>2026-10</v>
      </c>
    </row>
    <row r="51">
      <c r="A51" t="str">
        <v>2026-10-19</v>
      </c>
      <c r="B51" t="str">
        <v>月</v>
      </c>
      <c r="C51">
        <v>300</v>
      </c>
      <c r="D51" t="str">
        <v>2026-10</v>
      </c>
    </row>
    <row r="52">
      <c r="A52" t="str">
        <v>2026-10-20</v>
      </c>
      <c r="B52" t="str">
        <v>火</v>
      </c>
      <c r="C52">
        <v>326</v>
      </c>
      <c r="D52" t="str">
        <v>2026-10</v>
      </c>
    </row>
    <row r="53">
      <c r="A53" t="str">
        <v>2026-10-21</v>
      </c>
      <c r="B53" t="str">
        <v>水</v>
      </c>
      <c r="C53">
        <v>306</v>
      </c>
      <c r="D53" t="str">
        <v>2026-10</v>
      </c>
    </row>
    <row r="54">
      <c r="A54" t="str">
        <v>2026-10-22</v>
      </c>
      <c r="B54" t="str">
        <v>木</v>
      </c>
      <c r="C54">
        <v>295</v>
      </c>
      <c r="D54" t="str">
        <v>2026-10</v>
      </c>
    </row>
    <row r="55">
      <c r="A55" t="str">
        <v>2026-10-23</v>
      </c>
      <c r="B55" t="str">
        <v>金</v>
      </c>
      <c r="C55">
        <v>290</v>
      </c>
      <c r="D55" t="str">
        <v>2026-10</v>
      </c>
    </row>
    <row r="56">
      <c r="A56" t="str">
        <v>2026-10-24</v>
      </c>
      <c r="B56" t="str">
        <v>土</v>
      </c>
      <c r="C56">
        <v>259</v>
      </c>
      <c r="D56" t="str">
        <v>2026-10</v>
      </c>
    </row>
    <row r="57">
      <c r="A57" t="str">
        <v>2026-10-25</v>
      </c>
      <c r="B57" t="str">
        <v>日</v>
      </c>
      <c r="C57">
        <v>304</v>
      </c>
      <c r="D57" t="str">
        <v>2026-10</v>
      </c>
    </row>
    <row r="58">
      <c r="A58" t="str">
        <v>2026-10-26</v>
      </c>
      <c r="B58" t="str">
        <v>月</v>
      </c>
      <c r="C58">
        <v>318</v>
      </c>
      <c r="D58" t="str">
        <v>2026-10</v>
      </c>
    </row>
    <row r="59">
      <c r="A59" t="str">
        <v>2026-10-27</v>
      </c>
      <c r="B59" t="str">
        <v>火</v>
      </c>
      <c r="C59">
        <v>349</v>
      </c>
      <c r="D59" t="str">
        <v>2026-10</v>
      </c>
    </row>
    <row r="60">
      <c r="A60" t="str">
        <v>2026-10-28</v>
      </c>
      <c r="B60" t="str">
        <v>水</v>
      </c>
      <c r="C60">
        <v>340</v>
      </c>
      <c r="D60" t="str">
        <v>2026-10</v>
      </c>
    </row>
    <row r="61">
      <c r="A61" t="str">
        <v>2026-10-29</v>
      </c>
      <c r="B61" t="str">
        <v>木</v>
      </c>
      <c r="C61">
        <v>314</v>
      </c>
      <c r="D61" t="str">
        <v>2026-10</v>
      </c>
    </row>
    <row r="62">
      <c r="A62" t="str">
        <v>2026-10-30</v>
      </c>
      <c r="B62" t="str">
        <v>金</v>
      </c>
      <c r="C62">
        <v>293</v>
      </c>
      <c r="D62" t="str">
        <v>2026-10</v>
      </c>
    </row>
    <row r="63">
      <c r="A63" t="str">
        <v>2026-10-31</v>
      </c>
      <c r="B63" t="str">
        <v>土</v>
      </c>
      <c r="C63">
        <v>280</v>
      </c>
      <c r="D63" t="str">
        <v>2026-10</v>
      </c>
    </row>
    <row r="64">
      <c r="A64" t="str">
        <v>2026-11-01</v>
      </c>
      <c r="B64" t="str">
        <v>日</v>
      </c>
      <c r="C64">
        <v>335</v>
      </c>
      <c r="D64" t="str">
        <v>2026-11</v>
      </c>
    </row>
    <row r="65">
      <c r="A65" t="str">
        <v>2026-11-02</v>
      </c>
      <c r="B65" t="str">
        <v>月</v>
      </c>
      <c r="C65">
        <v>381</v>
      </c>
      <c r="D65" t="str">
        <v>2026-11</v>
      </c>
    </row>
    <row r="66">
      <c r="A66" t="str">
        <v>2026-11-03</v>
      </c>
      <c r="B66" t="str">
        <v>火</v>
      </c>
      <c r="C66">
        <v>374</v>
      </c>
      <c r="D66" t="str">
        <v>2026-11</v>
      </c>
    </row>
    <row r="67">
      <c r="A67" t="str">
        <v>2026-11-04</v>
      </c>
      <c r="B67" t="str">
        <v>水</v>
      </c>
      <c r="C67">
        <v>381</v>
      </c>
      <c r="D67" t="str">
        <v>2026-11</v>
      </c>
    </row>
    <row r="68">
      <c r="A68" t="str">
        <v>2026-11-05</v>
      </c>
      <c r="B68" t="str">
        <v>木</v>
      </c>
      <c r="C68">
        <v>382</v>
      </c>
      <c r="D68" t="str">
        <v>2026-11</v>
      </c>
    </row>
    <row r="69">
      <c r="A69" t="str">
        <v>2026-11-06</v>
      </c>
      <c r="B69" t="str">
        <v>金</v>
      </c>
      <c r="C69">
        <v>346</v>
      </c>
      <c r="D69" t="str">
        <v>2026-11</v>
      </c>
    </row>
    <row r="70">
      <c r="A70" t="str">
        <v>2026-11-07</v>
      </c>
      <c r="B70" t="str">
        <v>土</v>
      </c>
      <c r="C70">
        <v>317</v>
      </c>
      <c r="D70" t="str">
        <v>2026-11</v>
      </c>
    </row>
    <row r="71">
      <c r="A71" t="str">
        <v>2026-11-08</v>
      </c>
      <c r="B71" t="str">
        <v>日</v>
      </c>
      <c r="C71">
        <v>350</v>
      </c>
      <c r="D71" t="str">
        <v>2026-11</v>
      </c>
    </row>
    <row r="72">
      <c r="A72" t="str">
        <v>2026-11-09</v>
      </c>
      <c r="B72" t="str">
        <v>月</v>
      </c>
      <c r="C72">
        <v>368</v>
      </c>
      <c r="D72" t="str">
        <v>2026-11</v>
      </c>
    </row>
    <row r="73">
      <c r="A73" t="str">
        <v>2026-11-10</v>
      </c>
      <c r="B73" t="str">
        <v>火</v>
      </c>
      <c r="C73">
        <v>394</v>
      </c>
      <c r="D73" t="str">
        <v>2026-11</v>
      </c>
    </row>
    <row r="74">
      <c r="A74" t="str">
        <v>2026-11-11</v>
      </c>
      <c r="B74" t="str">
        <v>水</v>
      </c>
      <c r="C74">
        <v>391</v>
      </c>
      <c r="D74" t="str">
        <v>2026-11</v>
      </c>
    </row>
    <row r="75">
      <c r="A75" t="str">
        <v>2026-11-12</v>
      </c>
      <c r="B75" t="str">
        <v>木</v>
      </c>
      <c r="C75">
        <v>364</v>
      </c>
      <c r="D75" t="str">
        <v>2026-11</v>
      </c>
    </row>
    <row r="76">
      <c r="A76" t="str">
        <v>2026-11-13</v>
      </c>
      <c r="B76" t="str">
        <v>金</v>
      </c>
      <c r="C76">
        <v>359</v>
      </c>
      <c r="D76" t="str">
        <v>2026-11</v>
      </c>
    </row>
    <row r="77">
      <c r="A77" t="str">
        <v>2026-11-14</v>
      </c>
      <c r="B77" t="str">
        <v>土</v>
      </c>
      <c r="C77">
        <v>357</v>
      </c>
      <c r="D77" t="str">
        <v>2026-11</v>
      </c>
    </row>
    <row r="78">
      <c r="A78" t="str">
        <v>2026-11-15</v>
      </c>
      <c r="B78" t="str">
        <v>日</v>
      </c>
      <c r="C78">
        <v>389</v>
      </c>
      <c r="D78" t="str">
        <v>2026-11</v>
      </c>
    </row>
    <row r="79">
      <c r="A79" t="str">
        <v>2026-11-16</v>
      </c>
      <c r="B79" t="str">
        <v>月</v>
      </c>
      <c r="C79">
        <v>404</v>
      </c>
      <c r="D79" t="str">
        <v>2026-11</v>
      </c>
    </row>
    <row r="80">
      <c r="A80" t="str">
        <v>2026-11-17</v>
      </c>
      <c r="B80" t="str">
        <v>火</v>
      </c>
      <c r="C80">
        <v>418</v>
      </c>
      <c r="D80" t="str">
        <v>2026-11</v>
      </c>
    </row>
    <row r="81">
      <c r="A81" t="str">
        <v>2026-11-18</v>
      </c>
      <c r="B81" t="str">
        <v>水</v>
      </c>
      <c r="C81">
        <v>400</v>
      </c>
      <c r="D81" t="str">
        <v>2026-11</v>
      </c>
    </row>
    <row r="82">
      <c r="A82" t="str">
        <v>2026-11-19</v>
      </c>
      <c r="B82" t="str">
        <v>木</v>
      </c>
      <c r="C82">
        <v>368</v>
      </c>
      <c r="D82" t="str">
        <v>2026-11</v>
      </c>
    </row>
    <row r="83">
      <c r="A83" t="str">
        <v>2026-11-20</v>
      </c>
      <c r="B83" t="str">
        <v>金</v>
      </c>
      <c r="C83">
        <v>334</v>
      </c>
      <c r="D83" t="str">
        <v>2026-11</v>
      </c>
    </row>
    <row r="84">
      <c r="A84" t="str">
        <v>2026-11-21</v>
      </c>
      <c r="B84" t="str">
        <v>土</v>
      </c>
      <c r="C84">
        <v>282</v>
      </c>
      <c r="D84" t="str">
        <v>2026-11</v>
      </c>
    </row>
    <row r="85">
      <c r="A85" t="str">
        <v>2026-11-22</v>
      </c>
      <c r="B85" t="str">
        <v>日</v>
      </c>
      <c r="C85">
        <v>311</v>
      </c>
      <c r="D85" t="str">
        <v>2026-11</v>
      </c>
    </row>
    <row r="86">
      <c r="A86" t="str">
        <v>2026-11-23</v>
      </c>
      <c r="B86" t="str">
        <v>月</v>
      </c>
      <c r="C86">
        <v>368</v>
      </c>
      <c r="D86" t="str">
        <v>2026-11</v>
      </c>
    </row>
    <row r="87">
      <c r="A87" t="str">
        <v>2026-11-24</v>
      </c>
      <c r="B87" t="str">
        <v>火</v>
      </c>
      <c r="C87">
        <v>391</v>
      </c>
      <c r="D87" t="str">
        <v>2026-11</v>
      </c>
    </row>
    <row r="88">
      <c r="A88" t="str">
        <v>2026-11-25</v>
      </c>
      <c r="B88" t="str">
        <v>水</v>
      </c>
      <c r="C88">
        <v>406</v>
      </c>
      <c r="D88" t="str">
        <v>2026-11</v>
      </c>
    </row>
    <row r="89">
      <c r="A89" t="str">
        <v>2026-11-26</v>
      </c>
      <c r="B89" t="str">
        <v>木</v>
      </c>
      <c r="C89">
        <v>405</v>
      </c>
      <c r="D89" t="str">
        <v>2026-11</v>
      </c>
    </row>
    <row r="90">
      <c r="A90" t="str">
        <v>2026-11-27</v>
      </c>
      <c r="B90" t="str">
        <v>金</v>
      </c>
      <c r="C90">
        <v>381</v>
      </c>
      <c r="D90" t="str">
        <v>2026-11</v>
      </c>
    </row>
    <row r="91">
      <c r="A91" t="str">
        <v>2026-11-28</v>
      </c>
      <c r="B91" t="str">
        <v>土</v>
      </c>
      <c r="C91">
        <v>365</v>
      </c>
      <c r="D91" t="str">
        <v>2026-11</v>
      </c>
    </row>
    <row r="92">
      <c r="A92" t="str">
        <v>2026-11-29</v>
      </c>
      <c r="B92" t="str">
        <v>日</v>
      </c>
      <c r="C92">
        <v>415</v>
      </c>
      <c r="D92" t="str">
        <v>2026-11</v>
      </c>
    </row>
    <row r="93">
      <c r="A93" t="str">
        <v>2026-11-30</v>
      </c>
      <c r="B93" t="str">
        <v>月</v>
      </c>
      <c r="C93">
        <v>460</v>
      </c>
      <c r="D93" t="str">
        <v>2026-11</v>
      </c>
    </row>
    <row r="94">
      <c r="A94" t="str">
        <v>2026-12-01</v>
      </c>
      <c r="B94" t="str">
        <v>火</v>
      </c>
      <c r="C94">
        <v>464</v>
      </c>
      <c r="D94" t="str">
        <v>2026-12</v>
      </c>
    </row>
    <row r="95">
      <c r="A95" t="str">
        <v>2026-12-02</v>
      </c>
      <c r="B95" t="str">
        <v>水</v>
      </c>
      <c r="C95">
        <v>448</v>
      </c>
      <c r="D95" t="str">
        <v>2026-12</v>
      </c>
    </row>
    <row r="96">
      <c r="A96" t="str">
        <v>2026-12-03</v>
      </c>
      <c r="B96" t="str">
        <v>木</v>
      </c>
      <c r="C96">
        <v>438</v>
      </c>
      <c r="D96" t="str">
        <v>2026-12</v>
      </c>
    </row>
    <row r="97">
      <c r="A97" t="str">
        <v>2026-12-04</v>
      </c>
      <c r="B97" t="str">
        <v>金</v>
      </c>
      <c r="C97">
        <v>436</v>
      </c>
      <c r="D97" t="str">
        <v>2026-12</v>
      </c>
    </row>
    <row r="98">
      <c r="A98" t="str">
        <v>2026-12-05</v>
      </c>
      <c r="B98" t="str">
        <v>土</v>
      </c>
      <c r="C98">
        <v>447</v>
      </c>
      <c r="D98" t="str">
        <v>2026-12</v>
      </c>
    </row>
    <row r="99">
      <c r="A99" t="str">
        <v>2026-12-06</v>
      </c>
      <c r="B99" t="str">
        <v>日</v>
      </c>
      <c r="C99">
        <v>480</v>
      </c>
      <c r="D99" t="str">
        <v>2026-12</v>
      </c>
    </row>
    <row r="100">
      <c r="A100" t="str">
        <v>2026-12-07</v>
      </c>
      <c r="B100" t="str">
        <v>月</v>
      </c>
      <c r="C100">
        <v>489</v>
      </c>
      <c r="D100" t="str">
        <v>2026-12</v>
      </c>
    </row>
    <row r="101">
      <c r="A101" t="str">
        <v>2026-12-08</v>
      </c>
      <c r="B101" t="str">
        <v>火</v>
      </c>
      <c r="C101">
        <v>493</v>
      </c>
      <c r="D101" t="str">
        <v>2026-12</v>
      </c>
    </row>
    <row r="102">
      <c r="A102" t="str">
        <v>2026-12-09</v>
      </c>
      <c r="B102" t="str">
        <v>水</v>
      </c>
      <c r="C102">
        <v>480</v>
      </c>
      <c r="D102" t="str">
        <v>2026-12</v>
      </c>
    </row>
    <row r="103">
      <c r="A103" t="str">
        <v>2026-12-10</v>
      </c>
      <c r="B103" t="str">
        <v>木</v>
      </c>
      <c r="C103">
        <v>473</v>
      </c>
      <c r="D103" t="str">
        <v>2026-12</v>
      </c>
    </row>
    <row r="104">
      <c r="A104" t="str">
        <v>2026-12-11</v>
      </c>
      <c r="B104" t="str">
        <v>金</v>
      </c>
      <c r="C104">
        <v>468</v>
      </c>
      <c r="D104" t="str">
        <v>2026-12</v>
      </c>
    </row>
    <row r="105">
      <c r="A105" t="str">
        <v>2026-12-12</v>
      </c>
      <c r="B105" t="str">
        <v>土</v>
      </c>
      <c r="C105">
        <v>459</v>
      </c>
      <c r="D105" t="str">
        <v>2026-12</v>
      </c>
    </row>
    <row r="106">
      <c r="A106" t="str">
        <v>2026-12-13</v>
      </c>
      <c r="B106" t="str">
        <v>日</v>
      </c>
      <c r="C106">
        <v>496</v>
      </c>
      <c r="D106" t="str">
        <v>2026-12</v>
      </c>
    </row>
    <row r="107">
      <c r="A107" t="str">
        <v>2026-12-14</v>
      </c>
      <c r="B107" t="str">
        <v>月</v>
      </c>
      <c r="C107">
        <v>490</v>
      </c>
      <c r="D107" t="str">
        <v>2026-12</v>
      </c>
    </row>
    <row r="108">
      <c r="A108" t="str">
        <v>2026-12-15</v>
      </c>
      <c r="B108" t="str">
        <v>火</v>
      </c>
      <c r="C108">
        <v>488</v>
      </c>
      <c r="D108" t="str">
        <v>2026-12</v>
      </c>
    </row>
    <row r="109">
      <c r="A109" t="str">
        <v>2026-12-16</v>
      </c>
      <c r="B109" t="str">
        <v>水</v>
      </c>
      <c r="C109">
        <v>480</v>
      </c>
      <c r="D109" t="str">
        <v>2026-12</v>
      </c>
    </row>
    <row r="110">
      <c r="A110" t="str">
        <v>2026-12-17</v>
      </c>
      <c r="B110" t="str">
        <v>木</v>
      </c>
      <c r="C110">
        <v>483</v>
      </c>
      <c r="D110" t="str">
        <v>2026-12</v>
      </c>
    </row>
    <row r="111">
      <c r="A111" t="str">
        <v>2026-12-18</v>
      </c>
      <c r="B111" t="str">
        <v>金</v>
      </c>
      <c r="C111">
        <v>474</v>
      </c>
      <c r="D111" t="str">
        <v>2026-12</v>
      </c>
    </row>
    <row r="112">
      <c r="A112" t="str">
        <v>2026-12-19</v>
      </c>
      <c r="B112" t="str">
        <v>土</v>
      </c>
      <c r="C112">
        <v>433</v>
      </c>
      <c r="D112" t="str">
        <v>2026-12</v>
      </c>
    </row>
    <row r="113">
      <c r="A113" t="str">
        <v>2026-12-20</v>
      </c>
      <c r="B113" t="str">
        <v>日</v>
      </c>
      <c r="C113">
        <v>450</v>
      </c>
      <c r="D113" t="str">
        <v>2026-12</v>
      </c>
    </row>
    <row r="114">
      <c r="A114" t="str">
        <v>2026-12-21</v>
      </c>
      <c r="B114" t="str">
        <v>月</v>
      </c>
      <c r="C114">
        <v>447</v>
      </c>
      <c r="D114" t="str">
        <v>2026-12</v>
      </c>
    </row>
    <row r="115">
      <c r="A115" t="str">
        <v>2026-12-22</v>
      </c>
      <c r="B115" t="str">
        <v>火</v>
      </c>
      <c r="C115">
        <v>447</v>
      </c>
      <c r="D115" t="str">
        <v>2026-12</v>
      </c>
    </row>
    <row r="116">
      <c r="A116" t="str">
        <v>2026-12-23</v>
      </c>
      <c r="B116" t="str">
        <v>水</v>
      </c>
      <c r="C116">
        <v>423</v>
      </c>
      <c r="D116" t="str">
        <v>2026-12</v>
      </c>
    </row>
    <row r="117">
      <c r="A117" t="str">
        <v>2026-12-24</v>
      </c>
      <c r="B117" t="str">
        <v>木</v>
      </c>
      <c r="C117">
        <v>418</v>
      </c>
      <c r="D117" t="str">
        <v>2026-12</v>
      </c>
    </row>
    <row r="118">
      <c r="A118" t="str">
        <v>2026-12-25</v>
      </c>
      <c r="B118" t="str">
        <v>金</v>
      </c>
      <c r="C118">
        <v>380</v>
      </c>
      <c r="D118" t="str">
        <v>2026-12</v>
      </c>
    </row>
    <row r="119">
      <c r="A119" t="str">
        <v>2026-12-26</v>
      </c>
      <c r="B119" t="str">
        <v>土</v>
      </c>
      <c r="C119">
        <v>347</v>
      </c>
      <c r="D119" t="str">
        <v>2026-12</v>
      </c>
    </row>
    <row r="120">
      <c r="A120" t="str">
        <v>2026-12-27</v>
      </c>
      <c r="B120" t="str">
        <v>日</v>
      </c>
      <c r="C120">
        <v>326</v>
      </c>
      <c r="D120" t="str">
        <v>2026-12</v>
      </c>
    </row>
    <row r="121">
      <c r="A121" t="str">
        <v>2026-12-28</v>
      </c>
      <c r="B121" t="str">
        <v>月</v>
      </c>
      <c r="C121">
        <v>315</v>
      </c>
      <c r="D121" t="str">
        <v>2026-12</v>
      </c>
    </row>
    <row r="122">
      <c r="A122" t="str">
        <v>2026-12-29</v>
      </c>
      <c r="B122" t="str">
        <v>火</v>
      </c>
      <c r="C122">
        <v>300</v>
      </c>
      <c r="D122" t="str">
        <v>2026-12</v>
      </c>
    </row>
    <row r="123">
      <c r="A123" t="str">
        <v>2026-12-30</v>
      </c>
      <c r="B123" t="str">
        <v>水</v>
      </c>
      <c r="C123">
        <v>291</v>
      </c>
      <c r="D123" t="str">
        <v>2026-12</v>
      </c>
    </row>
    <row r="124">
      <c r="A124" t="str">
        <v>2026-12-31</v>
      </c>
      <c r="B124" t="str">
        <v>木</v>
      </c>
      <c r="C124">
        <v>282</v>
      </c>
      <c r="D124" t="str">
        <v>2026-12</v>
      </c>
    </row>
    <row r="125">
      <c r="A125" t="str">
        <v>2027-01-01</v>
      </c>
      <c r="B125" t="str">
        <v>金</v>
      </c>
      <c r="C125">
        <v>315</v>
      </c>
      <c r="D125" t="str">
        <v>2027-01</v>
      </c>
    </row>
    <row r="126">
      <c r="A126" t="str">
        <v>2027-01-02</v>
      </c>
      <c r="B126" t="str">
        <v>土</v>
      </c>
      <c r="C126">
        <v>385</v>
      </c>
      <c r="D126" t="str">
        <v>2027-01</v>
      </c>
    </row>
    <row r="127">
      <c r="A127" t="str">
        <v>2027-01-03</v>
      </c>
      <c r="B127" t="str">
        <v>日</v>
      </c>
      <c r="C127">
        <v>468</v>
      </c>
      <c r="D127" t="str">
        <v>2027-01</v>
      </c>
    </row>
    <row r="128">
      <c r="A128" t="str">
        <v>2027-01-04</v>
      </c>
      <c r="B128" t="str">
        <v>月</v>
      </c>
      <c r="C128">
        <v>514</v>
      </c>
      <c r="D128" t="str">
        <v>2027-01</v>
      </c>
    </row>
    <row r="129">
      <c r="A129" t="str">
        <v>2027-01-05</v>
      </c>
      <c r="B129" t="str">
        <v>火</v>
      </c>
      <c r="C129">
        <v>539</v>
      </c>
      <c r="D129" t="str">
        <v>2027-01</v>
      </c>
    </row>
    <row r="130">
      <c r="A130" t="str">
        <v>2027-01-06</v>
      </c>
      <c r="B130" t="str">
        <v>水</v>
      </c>
      <c r="C130">
        <v>529</v>
      </c>
      <c r="D130" t="str">
        <v>2027-01</v>
      </c>
    </row>
    <row r="131">
      <c r="A131" t="str">
        <v>2027-01-07</v>
      </c>
      <c r="B131" t="str">
        <v>木</v>
      </c>
      <c r="C131">
        <v>524</v>
      </c>
      <c r="D131" t="str">
        <v>2027-01</v>
      </c>
    </row>
    <row r="132">
      <c r="A132" t="str">
        <v>2027-01-08</v>
      </c>
      <c r="B132" t="str">
        <v>金</v>
      </c>
      <c r="C132">
        <v>504</v>
      </c>
      <c r="D132" t="str">
        <v>2027-01</v>
      </c>
    </row>
    <row r="133">
      <c r="A133" t="str">
        <v>2027-01-09</v>
      </c>
      <c r="B133" t="str">
        <v>土</v>
      </c>
      <c r="C133">
        <v>504</v>
      </c>
      <c r="D133" t="str">
        <v>2027-01</v>
      </c>
    </row>
    <row r="134">
      <c r="A134" t="str">
        <v>2027-01-10</v>
      </c>
      <c r="B134" t="str">
        <v>日</v>
      </c>
      <c r="C134">
        <v>521</v>
      </c>
      <c r="D134" t="str">
        <v>2027-01</v>
      </c>
    </row>
    <row r="135">
      <c r="A135" t="str">
        <v>2027-01-11</v>
      </c>
      <c r="B135" t="str">
        <v>月</v>
      </c>
      <c r="C135">
        <v>544</v>
      </c>
      <c r="D135" t="str">
        <v>2027-01</v>
      </c>
    </row>
    <row r="136">
      <c r="A136" t="str">
        <v>2027-01-12</v>
      </c>
      <c r="B136" t="str">
        <v>火</v>
      </c>
      <c r="C136">
        <v>543</v>
      </c>
      <c r="D136" t="str">
        <v>2027-01</v>
      </c>
    </row>
    <row r="137">
      <c r="A137" t="str">
        <v>2027-01-13</v>
      </c>
      <c r="B137" t="str">
        <v>水</v>
      </c>
      <c r="C137">
        <v>550</v>
      </c>
      <c r="D137" t="str">
        <v>2027-01</v>
      </c>
    </row>
    <row r="138">
      <c r="A138" t="str">
        <v>2027-01-14</v>
      </c>
      <c r="B138" t="str">
        <v>木</v>
      </c>
      <c r="C138">
        <v>553</v>
      </c>
      <c r="D138" t="str">
        <v>2027-01</v>
      </c>
    </row>
    <row r="139">
      <c r="A139" t="str">
        <v>2027-01-15</v>
      </c>
      <c r="B139" t="str">
        <v>金</v>
      </c>
      <c r="C139">
        <v>530</v>
      </c>
      <c r="D139" t="str">
        <v>2027-01</v>
      </c>
    </row>
    <row r="140">
      <c r="A140" t="str">
        <v>2027-01-16</v>
      </c>
      <c r="B140" t="str">
        <v>土</v>
      </c>
      <c r="C140">
        <v>526</v>
      </c>
      <c r="D140" t="str">
        <v>2027-01</v>
      </c>
    </row>
    <row r="141">
      <c r="A141" t="str">
        <v>2027-01-17</v>
      </c>
      <c r="B141" t="str">
        <v>日</v>
      </c>
      <c r="C141">
        <v>568</v>
      </c>
      <c r="D141" t="str">
        <v>2027-01</v>
      </c>
    </row>
    <row r="142">
      <c r="A142" t="str">
        <v>2027-01-18</v>
      </c>
      <c r="B142" t="str">
        <v>月</v>
      </c>
      <c r="C142">
        <v>575</v>
      </c>
      <c r="D142" t="str">
        <v>2027-01</v>
      </c>
    </row>
    <row r="143">
      <c r="A143" t="str">
        <v>2027-01-19</v>
      </c>
      <c r="B143" t="str">
        <v>火</v>
      </c>
      <c r="C143">
        <v>571</v>
      </c>
      <c r="D143" t="str">
        <v>2027-01</v>
      </c>
    </row>
    <row r="144">
      <c r="A144" t="str">
        <v>2027-01-20</v>
      </c>
      <c r="B144" t="str">
        <v>水</v>
      </c>
      <c r="C144">
        <v>575</v>
      </c>
      <c r="D144" t="str">
        <v>2027-01</v>
      </c>
    </row>
    <row r="145">
      <c r="A145" t="str">
        <v>2027-01-21</v>
      </c>
      <c r="B145" t="str">
        <v>木</v>
      </c>
      <c r="C145">
        <v>558</v>
      </c>
      <c r="D145" t="str">
        <v>2027-01</v>
      </c>
    </row>
    <row r="146">
      <c r="A146" t="str">
        <v>2027-01-22</v>
      </c>
      <c r="B146" t="str">
        <v>金</v>
      </c>
      <c r="C146">
        <v>537</v>
      </c>
      <c r="D146" t="str">
        <v>2027-01</v>
      </c>
    </row>
    <row r="147">
      <c r="A147" t="str">
        <v>2027-01-23</v>
      </c>
      <c r="B147" t="str">
        <v>土</v>
      </c>
      <c r="C147">
        <v>546</v>
      </c>
      <c r="D147" t="str">
        <v>2027-01</v>
      </c>
    </row>
    <row r="148">
      <c r="A148" t="str">
        <v>2027-01-24</v>
      </c>
      <c r="B148" t="str">
        <v>日</v>
      </c>
      <c r="C148">
        <v>571</v>
      </c>
      <c r="D148" t="str">
        <v>2027-01</v>
      </c>
    </row>
    <row r="149">
      <c r="A149" t="str">
        <v>2027-01-25</v>
      </c>
      <c r="B149" t="str">
        <v>月</v>
      </c>
      <c r="C149">
        <v>574</v>
      </c>
      <c r="D149" t="str">
        <v>2027-01</v>
      </c>
    </row>
    <row r="150">
      <c r="A150" t="str">
        <v>2027-01-26</v>
      </c>
      <c r="B150" t="str">
        <v>火</v>
      </c>
      <c r="C150">
        <v>573</v>
      </c>
      <c r="D150" t="str">
        <v>2027-01</v>
      </c>
    </row>
    <row r="151">
      <c r="A151" t="str">
        <v>2027-01-27</v>
      </c>
      <c r="B151" t="str">
        <v>水</v>
      </c>
      <c r="C151">
        <v>572</v>
      </c>
      <c r="D151" t="str">
        <v>2027-01</v>
      </c>
    </row>
    <row r="152">
      <c r="A152" t="str">
        <v>2027-01-28</v>
      </c>
      <c r="B152" t="str">
        <v>木</v>
      </c>
      <c r="C152">
        <v>571</v>
      </c>
      <c r="D152" t="str">
        <v>2027-01</v>
      </c>
    </row>
    <row r="153">
      <c r="A153" t="str">
        <v>2027-01-29</v>
      </c>
      <c r="B153" t="str">
        <v>金</v>
      </c>
      <c r="C153">
        <v>565</v>
      </c>
      <c r="D153" t="str">
        <v>2027-01</v>
      </c>
    </row>
    <row r="154">
      <c r="A154" t="str">
        <v>2027-01-30</v>
      </c>
      <c r="B154" t="str">
        <v>土</v>
      </c>
      <c r="C154">
        <v>560</v>
      </c>
      <c r="D154" t="str">
        <v>2027-01</v>
      </c>
    </row>
    <row r="155">
      <c r="A155" t="str">
        <v>2027-01-31</v>
      </c>
      <c r="B155" t="str">
        <v>日</v>
      </c>
      <c r="C155">
        <v>598</v>
      </c>
      <c r="D155" t="str">
        <v>2027-01</v>
      </c>
    </row>
    <row r="156">
      <c r="A156" t="str">
        <v>2027-02-01</v>
      </c>
      <c r="B156" t="str">
        <v>月</v>
      </c>
      <c r="C156">
        <v>604</v>
      </c>
      <c r="D156" t="str">
        <v>2027-02</v>
      </c>
    </row>
    <row r="157">
      <c r="A157" t="str">
        <v>2027-02-02</v>
      </c>
      <c r="B157" t="str">
        <v>火</v>
      </c>
      <c r="C157">
        <v>589</v>
      </c>
      <c r="D157" t="str">
        <v>2027-02</v>
      </c>
    </row>
    <row r="158">
      <c r="A158" t="str">
        <v>2027-02-03</v>
      </c>
      <c r="B158" t="str">
        <v>水</v>
      </c>
      <c r="C158">
        <v>586</v>
      </c>
      <c r="D158" t="str">
        <v>2027-02</v>
      </c>
    </row>
    <row r="159">
      <c r="A159" t="str">
        <v>2027-02-04</v>
      </c>
      <c r="B159" t="str">
        <v>木</v>
      </c>
      <c r="C159">
        <v>581</v>
      </c>
      <c r="D159" t="str">
        <v>2027-02</v>
      </c>
    </row>
    <row r="160">
      <c r="A160" t="str">
        <v>2027-02-05</v>
      </c>
      <c r="B160" t="str">
        <v>金</v>
      </c>
      <c r="C160">
        <v>558</v>
      </c>
      <c r="D160" t="str">
        <v>2027-02</v>
      </c>
    </row>
    <row r="161">
      <c r="A161" t="str">
        <v>2027-02-06</v>
      </c>
      <c r="B161" t="str">
        <v>土</v>
      </c>
      <c r="C161">
        <v>537</v>
      </c>
      <c r="D161" t="str">
        <v>2027-02</v>
      </c>
    </row>
    <row r="162">
      <c r="A162" t="str">
        <v>2027-02-07</v>
      </c>
      <c r="B162" t="str">
        <v>日</v>
      </c>
      <c r="C162">
        <v>553</v>
      </c>
      <c r="D162" t="str">
        <v>2027-02</v>
      </c>
    </row>
    <row r="163">
      <c r="A163" t="str">
        <v>2027-02-08</v>
      </c>
      <c r="B163" t="str">
        <v>月</v>
      </c>
      <c r="C163">
        <v>551</v>
      </c>
      <c r="D163" t="str">
        <v>2027-02</v>
      </c>
    </row>
    <row r="164">
      <c r="A164" t="str">
        <v>2027-02-09</v>
      </c>
      <c r="B164" t="str">
        <v>火</v>
      </c>
      <c r="C164">
        <v>577</v>
      </c>
      <c r="D164" t="str">
        <v>2027-02</v>
      </c>
    </row>
    <row r="165">
      <c r="A165" t="str">
        <v>2027-02-10</v>
      </c>
      <c r="B165" t="str">
        <v>水</v>
      </c>
      <c r="C165">
        <v>580</v>
      </c>
      <c r="D165" t="str">
        <v>2027-02</v>
      </c>
    </row>
    <row r="166">
      <c r="A166" t="str">
        <v>2027-02-11</v>
      </c>
      <c r="B166" t="str">
        <v>木</v>
      </c>
      <c r="C166">
        <v>567</v>
      </c>
      <c r="D166" t="str">
        <v>2027-02</v>
      </c>
    </row>
    <row r="167">
      <c r="A167" t="str">
        <v>2027-02-12</v>
      </c>
      <c r="B167" t="str">
        <v>金</v>
      </c>
      <c r="C167">
        <v>552</v>
      </c>
      <c r="D167" t="str">
        <v>2027-02</v>
      </c>
    </row>
    <row r="168">
      <c r="A168" t="str">
        <v>2027-02-13</v>
      </c>
      <c r="B168" t="str">
        <v>土</v>
      </c>
      <c r="C168">
        <v>552</v>
      </c>
      <c r="D168" t="str">
        <v>2027-02</v>
      </c>
    </row>
    <row r="169">
      <c r="A169" t="str">
        <v>2027-02-14</v>
      </c>
      <c r="B169" t="str">
        <v>日</v>
      </c>
      <c r="C169">
        <v>586</v>
      </c>
      <c r="D169" t="str">
        <v>2027-02</v>
      </c>
    </row>
    <row r="170">
      <c r="A170" t="str">
        <v>2027-02-15</v>
      </c>
      <c r="B170" t="str">
        <v>月</v>
      </c>
      <c r="C170">
        <v>589</v>
      </c>
      <c r="D170" t="str">
        <v>2027-02</v>
      </c>
    </row>
    <row r="171">
      <c r="A171" t="str">
        <v>2027-02-16</v>
      </c>
      <c r="B171" t="str">
        <v>火</v>
      </c>
      <c r="C171">
        <v>582</v>
      </c>
      <c r="D171" t="str">
        <v>2027-02</v>
      </c>
    </row>
    <row r="172">
      <c r="A172" t="str">
        <v>2027-02-17</v>
      </c>
      <c r="B172" t="str">
        <v>水</v>
      </c>
      <c r="C172">
        <v>576</v>
      </c>
      <c r="D172" t="str">
        <v>2027-02</v>
      </c>
    </row>
    <row r="173">
      <c r="A173" t="str">
        <v>2027-02-18</v>
      </c>
      <c r="B173" t="str">
        <v>木</v>
      </c>
      <c r="C173">
        <v>579</v>
      </c>
      <c r="D173" t="str">
        <v>2027-02</v>
      </c>
    </row>
    <row r="174">
      <c r="A174" t="str">
        <v>2027-02-19</v>
      </c>
      <c r="B174" t="str">
        <v>金</v>
      </c>
      <c r="C174">
        <v>562</v>
      </c>
      <c r="D174" t="str">
        <v>2027-02</v>
      </c>
    </row>
    <row r="175">
      <c r="A175" t="str">
        <v>2027-02-20</v>
      </c>
      <c r="B175" t="str">
        <v>土</v>
      </c>
      <c r="C175">
        <v>562</v>
      </c>
      <c r="D175" t="str">
        <v>2027-02</v>
      </c>
    </row>
    <row r="176">
      <c r="A176" t="str">
        <v>2027-02-21</v>
      </c>
      <c r="B176" t="str">
        <v>日</v>
      </c>
      <c r="C176">
        <v>594</v>
      </c>
      <c r="D176" t="str">
        <v>2027-02</v>
      </c>
    </row>
    <row r="177">
      <c r="A177" t="str">
        <v>2027-02-22</v>
      </c>
      <c r="B177" t="str">
        <v>月</v>
      </c>
      <c r="C177">
        <v>592</v>
      </c>
      <c r="D177" t="str">
        <v>2027-02</v>
      </c>
    </row>
    <row r="178">
      <c r="A178" t="str">
        <v>2027-02-23</v>
      </c>
      <c r="B178" t="str">
        <v>火</v>
      </c>
      <c r="C178">
        <v>595</v>
      </c>
      <c r="D178" t="str">
        <v>2027-02</v>
      </c>
    </row>
    <row r="179">
      <c r="A179" t="str">
        <v>2027-02-24</v>
      </c>
      <c r="B179" t="str">
        <v>水</v>
      </c>
      <c r="C179">
        <v>588</v>
      </c>
      <c r="D179" t="str">
        <v>2027-02</v>
      </c>
    </row>
    <row r="180">
      <c r="A180" t="str">
        <v>2027-02-25</v>
      </c>
      <c r="B180" t="str">
        <v>木</v>
      </c>
      <c r="C180">
        <v>591</v>
      </c>
      <c r="D180" t="str">
        <v>2027-02</v>
      </c>
    </row>
    <row r="181">
      <c r="A181" t="str">
        <v>2027-02-26</v>
      </c>
      <c r="B181" t="str">
        <v>金</v>
      </c>
      <c r="C181">
        <v>578</v>
      </c>
      <c r="D181" t="str">
        <v>2027-02</v>
      </c>
    </row>
    <row r="182">
      <c r="A182" t="str">
        <v>2027-02-27</v>
      </c>
      <c r="B182" t="str">
        <v>土</v>
      </c>
      <c r="C182">
        <v>503</v>
      </c>
      <c r="D182" t="str">
        <v>2027-02</v>
      </c>
    </row>
    <row r="183">
      <c r="A183" t="str">
        <v>2027-02-28</v>
      </c>
      <c r="B183" t="str">
        <v>日</v>
      </c>
      <c r="C183">
        <v>514</v>
      </c>
      <c r="D183" t="str">
        <v>2027-02</v>
      </c>
    </row>
    <row r="184">
      <c r="A184" t="str">
        <v>2027-03-01</v>
      </c>
      <c r="B184" t="str">
        <v>月</v>
      </c>
      <c r="C184">
        <v>507</v>
      </c>
      <c r="D184" t="str">
        <v>2027-03</v>
      </c>
    </row>
    <row r="185">
      <c r="A185" t="str">
        <v>2027-03-02</v>
      </c>
      <c r="B185" t="str">
        <v>火</v>
      </c>
      <c r="C185">
        <v>498</v>
      </c>
      <c r="D185" t="str">
        <v>2027-03</v>
      </c>
    </row>
  </sheetData>
  <ignoredErrors>
    <ignoredError numberStoredAsText="1" sqref="A1:G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月</v>
      </c>
      <c r="B1" t="str">
        <v>平均件数</v>
      </c>
      <c r="C1" t="str">
        <v>最小</v>
      </c>
      <c r="D1" t="str">
        <v>最大</v>
      </c>
      <c r="E1" t="str">
        <v>日数</v>
      </c>
    </row>
    <row r="2">
      <c r="A2" t="str">
        <v>2026-08</v>
      </c>
      <c r="B2">
        <f>ROUND(AVERAGE(DailyData!$C$2:$C$2),1)</f>
      </c>
      <c r="C2">
        <f>MIN(DailyData!$C$2:$C$2)</f>
      </c>
      <c r="D2">
        <f>MAX(DailyData!$C$2:$C$2)</f>
      </c>
      <c r="E2">
        <f>COUNT(DailyData!$C$2:$C$2)</f>
      </c>
    </row>
    <row r="3">
      <c r="A3" t="str">
        <v>2026-09</v>
      </c>
      <c r="B3">
        <f>ROUND(AVERAGE(DailyData!$C$3:$C$32),1)</f>
      </c>
      <c r="C3">
        <f>MIN(DailyData!$C$3:$C$32)</f>
      </c>
      <c r="D3">
        <f>MAX(DailyData!$C$3:$C$32)</f>
      </c>
      <c r="E3">
        <f>COUNT(DailyData!$C$3:$C$32)</f>
      </c>
    </row>
    <row r="4">
      <c r="A4" t="str">
        <v>2026-10</v>
      </c>
      <c r="B4">
        <f>ROUND(AVERAGE(DailyData!$C$33:$C$63),1)</f>
      </c>
      <c r="C4">
        <f>MIN(DailyData!$C$33:$C$63)</f>
      </c>
      <c r="D4">
        <f>MAX(DailyData!$C$33:$C$63)</f>
      </c>
      <c r="E4">
        <f>COUNT(DailyData!$C$33:$C$63)</f>
      </c>
    </row>
    <row r="5">
      <c r="A5" t="str">
        <v>2026-11</v>
      </c>
      <c r="B5">
        <f>ROUND(AVERAGE(DailyData!$C$64:$C$93),1)</f>
      </c>
      <c r="C5">
        <f>MIN(DailyData!$C$64:$C$93)</f>
      </c>
      <c r="D5">
        <f>MAX(DailyData!$C$64:$C$93)</f>
      </c>
      <c r="E5">
        <f>COUNT(DailyData!$C$64:$C$93)</f>
      </c>
    </row>
    <row r="6">
      <c r="A6" t="str">
        <v>2026-12</v>
      </c>
      <c r="B6">
        <f>ROUND(AVERAGE(DailyData!$C$94:$C$124),1)</f>
      </c>
      <c r="C6">
        <f>MIN(DailyData!$C$94:$C$124)</f>
      </c>
      <c r="D6">
        <f>MAX(DailyData!$C$94:$C$124)</f>
      </c>
      <c r="E6">
        <f>COUNT(DailyData!$C$94:$C$124)</f>
      </c>
    </row>
    <row r="7">
      <c r="A7" t="str">
        <v>2027-01</v>
      </c>
      <c r="B7">
        <f>ROUND(AVERAGE(DailyData!$C$125:$C$155),1)</f>
      </c>
      <c r="C7">
        <f>MIN(DailyData!$C$125:$C$155)</f>
      </c>
      <c r="D7">
        <f>MAX(DailyData!$C$125:$C$155)</f>
      </c>
      <c r="E7">
        <f>COUNT(DailyData!$C$125:$C$155)</f>
      </c>
    </row>
    <row r="8">
      <c r="A8" t="str">
        <v>2027-02</v>
      </c>
      <c r="B8">
        <f>ROUND(AVERAGE(DailyData!$C$156:$C$183),1)</f>
      </c>
      <c r="C8">
        <f>MIN(DailyData!$C$156:$C$183)</f>
      </c>
      <c r="D8">
        <f>MAX(DailyData!$C$156:$C$183)</f>
      </c>
      <c r="E8">
        <f>COUNT(DailyData!$C$156:$C$183)</f>
      </c>
    </row>
    <row r="9">
      <c r="A9" t="str">
        <v>2027-03</v>
      </c>
      <c r="B9">
        <f>ROUND(AVERAGE(DailyData!$C$184:$C$185),1)</f>
      </c>
      <c r="C9">
        <f>MIN(DailyData!$C$184:$C$185)</f>
      </c>
      <c r="D9">
        <f>MAX(DailyData!$C$184:$C$185)</f>
      </c>
      <c r="E9">
        <f>COUNT(DailyData!$C$184:$C$185)</f>
      </c>
    </row>
    <row r="11">
      <c r="A11" t="str">
        <v>※各月は連続行範囲。出典: Airbnb検索 2026-08-31取得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DailyData</vt:lpstr>
      <vt:lpstr>MonthlySummary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