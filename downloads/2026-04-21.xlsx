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  <sheet name="期間統計" sheetId="3" state="visible" r:id="rId5"/>
    <sheet name="折れ線グラ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<sst xmlns="http://schemas.openxmlformats.org/spreadsheetml/2006/main" count="392" uniqueCount="212">
  <si>
    <t xml:space="preserve">日付</t>
  </si>
  <si>
    <t xml:space="preserve">曜日</t>
  </si>
  <si>
    <t xml:space="preserve">件数</t>
  </si>
  <si>
    <t xml:space="preserve">前日比</t>
  </si>
  <si>
    <t xml:space="preserve">2026-04-21</t>
  </si>
  <si>
    <t xml:space="preserve">火</t>
  </si>
  <si>
    <t xml:space="preserve">2026-04-22</t>
  </si>
  <si>
    <t xml:space="preserve">水</t>
  </si>
  <si>
    <t xml:space="preserve">2026-04-23</t>
  </si>
  <si>
    <t xml:space="preserve">木</t>
  </si>
  <si>
    <t xml:space="preserve">2026-04-24</t>
  </si>
  <si>
    <t xml:space="preserve">金</t>
  </si>
  <si>
    <t xml:space="preserve">2026-04-25</t>
  </si>
  <si>
    <t xml:space="preserve">土</t>
  </si>
  <si>
    <t xml:space="preserve">2026-04-26</t>
  </si>
  <si>
    <t xml:space="preserve">日</t>
  </si>
  <si>
    <t xml:space="preserve">2026-04-27</t>
  </si>
  <si>
    <t xml:space="preserve">月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</si>
  <si>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</si>
  <si>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</si>
  <si>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</si>
  <si>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</si>
  <si>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2026-05-02</t>
  </si>
  <si>
    <t xml:space="preserve">2026-05-03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</si>
  <si>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</si>
  <si>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</si>
  <si>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</si>
  <si>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</si>
  <si>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</si>
  <si>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2026-05-09</t>
  </si>
  <si>
    <t xml:space="preserve">2026-05-10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</si>
  <si>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</si>
  <si>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</si>
  <si>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</si>
  <si>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</si>
  <si>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</si>
  <si>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2026-05-16</t>
  </si>
  <si>
    <t xml:space="preserve">2026-05-17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</si>
  <si>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</si>
  <si>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</si>
  <si>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</si>
  <si>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</si>
  <si>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</si>
  <si>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2026-05-23</t>
  </si>
  <si>
    <t xml:space="preserve">2026-05-24</t>
  </si>
  <si>
    <t xml:space="preserve">2026-05-25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</si>
  <si>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</si>
  <si>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</si>
  <si>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</si>
  <si>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</si>
  <si>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2026-05-30</t>
  </si>
  <si>
    <t xml:space="preserve">2026-05-31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</si>
  <si>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</si>
  <si>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</si>
  <si>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</si>
  <si>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</si>
  <si>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</si>
  <si>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2026-06-06</t>
  </si>
  <si>
    <t xml:space="preserve">2026-06-07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</si>
  <si>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</si>
  <si>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</si>
  <si>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</si>
  <si>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</si>
  <si>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</si>
  <si>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</si>
  <si>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</si>
  <si>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</si>
  <si>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</si>
  <si>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</si>
  <si>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</si>
  <si>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2026-06-19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</si>
  <si>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</si>
  <si>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</si>
  <si>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</si>
  <si>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</si>
  <si>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</si>
  <si>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</si>
  <si>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</si>
  <si>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</si>
  <si>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</si>
  <si>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</si>
  <si>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</si>
  <si>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</si>
  <si>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</si>
  <si>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</si>
  <si>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</si>
  <si>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</si>
  <si>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</si>
  <si>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</si>
  <si>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</si>
  <si>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</si>
  <si>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</si>
  <si>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</si>
  <si>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</si>
  <si>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</si>
  <si>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</si>
  <si>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</si>
  <si>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</si>
  <si>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</si>
  <si>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</si>
  <si>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</si>
  <si>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</si>
  <si>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</si>
  <si>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</si>
  <si>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</si>
  <si>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</si>
  <si>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</si>
  <si>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</si>
  <si>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</si>
  <si>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</si>
  <si>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</si>
  <si>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</si>
  <si>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</si>
  <si>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</si>
  <si>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</si>
  <si>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</si>
  <si>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</si>
  <si>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</si>
  <si>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</si>
  <si>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</si>
  <si>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</si>
  <si>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</si>
  <si>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</si>
  <si>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</si>
  <si>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</si>
  <si>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</si>
  <si>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</si>
  <si>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</si>
  <si>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</si>
  <si>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</si>
  <si>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</si>
  <si>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</si>
  <si>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</si>
  <si>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</si>
  <si>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</si>
  <si>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</si>
  <si>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</si>
  <si>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</si>
  <si>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</si>
  <si>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</si>
  <si>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</si>
  <si>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</si>
  <si>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</si>
  <si>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</si>
  <si>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</si>
  <si>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</si>
  <si>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</si>
  <si>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</si>
  <si>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</si>
  <si>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</si>
  <si>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</si>
  <si>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</si>
  <si>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</si>
  <si>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</si>
  <si>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</si>
  <si>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</si>
  <si>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</si>
  <si>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</si>
  <si>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</si>
  <si>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</si>
  <si>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</si>
  <si>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</si>
  <si>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</si>
  <si>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</si>
  <si>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</si>
  <si>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</si>
  <si>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</si>
  <si>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</si>
  <si>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</si>
  <si>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</si>
  <si>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</si>
  <si>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</si>
  <si>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</si>
  <si>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</si>
  <si>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</si>
  <si>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</si>
  <si>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</si>
  <si>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</si>
  <si>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</si>
  <si>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</si>
  <si>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</si>
  <si>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</si>
  <si>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</si>
  <si>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</si>
  <si>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</si>
  <si>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</si>
  <si>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</si>
  <si>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</si>
  <si>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</si>
  <si>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</si>
  <si>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</si>
  <si>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</si>
  <si>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</si>
  <si>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</si>
  <si>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日数</t>
  </si>
  <si>
    <t xml:space="preserve">平均件数</t>
  </si>
  <si>
    <t xml:space="preserve">最小</t>
  </si>
  <si>
    <t xml:space="preserve">最大</t>
  </si>
  <si>
    <t xml:space="preserve">中央値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</si>
  <si>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</si>
  <si>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</si>
  <si>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</si>
  <si>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</si>
  <si>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</si>
  <si>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</si>
  <si>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</si>
  <si>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指標</t>
  </si>
  <si>
    <t xml:space="preserve">値</t>
  </si>
  <si>
    <t xml:space="preserve">期間</t>
  </si>
  <si>
    <r>
      <rPr>
        <sz val="11"/>
        <color theme="1"/>
        <rFont val="Calibri"/>
        <family val="2"/>
        <charset val="1"/>
      </rPr>
      <t xml:space="preserve">2026-04-21 </t>
    </r>
    <r>
      <rPr>
        <sz val="11"/>
        <color theme="1"/>
        <rFont val="DejaVu Sans"/>
        <family val="2"/>
      </rPr>
      <t xml:space="preserve">〜 </t>
    </r>
    <r>
      <rPr>
        <sz val="11"/>
        <color theme="1"/>
        <rFont val="Calibri"/>
        <family val="2"/>
        <charset val="1"/>
      </rPr>
      <t xml:space="preserve">2026-10-20</t>
    </r>
  </si>
  <si>
    <t xml:space="preserve">最小件数</t>
  </si>
  <si>
    <t xml:space="preserve">最大件数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</si>
</sst>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DejaVu Sans"/>
      <family val="2"/>
    </font>
    <font>
      <sz val="11"/>
      <color theme="1"/>
      <name val="DejaVu Sans"/>
      <family val="2"/>
    </font>
    <font>
      <b val="true"/>
      <sz val="18"/>
      <color rgb="FF000000"/>
      <name val="DejaVu 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競合在庫数（大人5人・まるまる貸切×ゲストチョイス）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日別データ!C1</c:f>
              <c:strCache>
                <c:ptCount val="1"/>
                <c:pt idx="0">
                  <c:v>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日別データ!$A$2:$A$184</c:f>
              <c:strCache>
                <c:ptCount val="183"/>
                <c:pt idx="0">
                  <c:v>2026-04-21</c:v>
                </c:pt>
                <c:pt idx="1">
                  <c:v>2026-04-22</c:v>
                </c:pt>
                <c:pt idx="2">
                  <c:v>2026-04-23</c:v>
                </c:pt>
                <c:pt idx="3">
                  <c:v>2026-04-24</c:v>
                </c:pt>
                <c:pt idx="4">
                  <c:v>2026-04-25</c:v>
                </c:pt>
                <c:pt idx="5">
                  <c:v>2026-04-26</c:v>
                </c:pt>
                <c:pt idx="6">
                  <c:v>2026-04-27</c:v>
                </c:pt>
                <c:pt idx="7">
                  <c:v>2026-04-28</c:v>
                </c:pt>
                <c:pt idx="8">
                  <c:v>2026-04-29</c:v>
                </c:pt>
                <c:pt idx="9">
                  <c:v>2026-04-30</c:v>
                </c:pt>
                <c:pt idx="10">
                  <c:v>2026-05-01</c:v>
                </c:pt>
                <c:pt idx="11">
                  <c:v>2026-05-02</c:v>
                </c:pt>
                <c:pt idx="12">
                  <c:v>2026-05-03</c:v>
                </c:pt>
                <c:pt idx="13">
                  <c:v>2026-05-04</c:v>
                </c:pt>
                <c:pt idx="14">
                  <c:v>2026-05-05</c:v>
                </c:pt>
                <c:pt idx="15">
                  <c:v>2026-05-06</c:v>
                </c:pt>
                <c:pt idx="16">
                  <c:v>2026-05-07</c:v>
                </c:pt>
                <c:pt idx="17">
                  <c:v>2026-05-08</c:v>
                </c:pt>
                <c:pt idx="18">
                  <c:v>2026-05-09</c:v>
                </c:pt>
                <c:pt idx="19">
                  <c:v>2026-05-10</c:v>
                </c:pt>
                <c:pt idx="20">
                  <c:v>2026-05-11</c:v>
                </c:pt>
                <c:pt idx="21">
                  <c:v>2026-05-12</c:v>
                </c:pt>
                <c:pt idx="22">
                  <c:v>2026-05-13</c:v>
                </c:pt>
                <c:pt idx="23">
                  <c:v>2026-05-14</c:v>
                </c:pt>
                <c:pt idx="24">
                  <c:v>2026-05-15</c:v>
                </c:pt>
                <c:pt idx="25">
                  <c:v>2026-05-16</c:v>
                </c:pt>
                <c:pt idx="26">
                  <c:v>2026-05-17</c:v>
                </c:pt>
                <c:pt idx="27">
                  <c:v>2026-05-18</c:v>
                </c:pt>
                <c:pt idx="28">
                  <c:v>2026-05-19</c:v>
                </c:pt>
                <c:pt idx="29">
                  <c:v>2026-05-20</c:v>
                </c:pt>
                <c:pt idx="30">
                  <c:v>2026-05-21</c:v>
                </c:pt>
                <c:pt idx="31">
                  <c:v>2026-05-22</c:v>
                </c:pt>
                <c:pt idx="32">
                  <c:v>2026-05-23</c:v>
                </c:pt>
                <c:pt idx="33">
                  <c:v>2026-05-24</c:v>
                </c:pt>
                <c:pt idx="34">
                  <c:v>2026-05-25</c:v>
                </c:pt>
                <c:pt idx="35">
                  <c:v>2026-05-26</c:v>
                </c:pt>
                <c:pt idx="36">
                  <c:v>2026-05-27</c:v>
                </c:pt>
                <c:pt idx="37">
                  <c:v>2026-05-28</c:v>
                </c:pt>
                <c:pt idx="38">
                  <c:v>2026-05-29</c:v>
                </c:pt>
                <c:pt idx="39">
                  <c:v>2026-05-30</c:v>
                </c:pt>
                <c:pt idx="40">
                  <c:v>2026-05-31</c:v>
                </c:pt>
                <c:pt idx="41">
                  <c:v>2026-06-01</c:v>
                </c:pt>
                <c:pt idx="42">
                  <c:v>2026-06-02</c:v>
                </c:pt>
                <c:pt idx="43">
                  <c:v>2026-06-03</c:v>
                </c:pt>
                <c:pt idx="44">
                  <c:v>2026-06-04</c:v>
                </c:pt>
                <c:pt idx="45">
                  <c:v>2026-06-05</c:v>
                </c:pt>
                <c:pt idx="46">
                  <c:v>2026-06-06</c:v>
                </c:pt>
                <c:pt idx="47">
                  <c:v>2026-06-07</c:v>
                </c:pt>
                <c:pt idx="48">
                  <c:v>2026-06-08</c:v>
                </c:pt>
                <c:pt idx="49">
                  <c:v>2026-06-09</c:v>
                </c:pt>
                <c:pt idx="50">
                  <c:v>2026-06-10</c:v>
                </c:pt>
                <c:pt idx="51">
                  <c:v>2026-06-11</c:v>
                </c:pt>
                <c:pt idx="52">
                  <c:v>2026-06-12</c:v>
                </c:pt>
                <c:pt idx="53">
                  <c:v>2026-06-13</c:v>
                </c:pt>
                <c:pt idx="54">
                  <c:v>2026-06-14</c:v>
                </c:pt>
                <c:pt idx="55">
                  <c:v>2026-06-15</c:v>
                </c:pt>
                <c:pt idx="56">
                  <c:v>2026-06-16</c:v>
                </c:pt>
                <c:pt idx="57">
                  <c:v>2026-06-17</c:v>
                </c:pt>
                <c:pt idx="58">
                  <c:v>2026-06-18</c:v>
                </c:pt>
                <c:pt idx="59">
                  <c:v>2026-06-19</c:v>
                </c:pt>
                <c:pt idx="60">
                  <c:v>2026-06-20</c:v>
                </c:pt>
                <c:pt idx="61">
                  <c:v>2026-06-21</c:v>
                </c:pt>
                <c:pt idx="62">
                  <c:v>2026-06-22</c:v>
                </c:pt>
                <c:pt idx="63">
                  <c:v>2026-06-23</c:v>
                </c:pt>
                <c:pt idx="64">
                  <c:v>2026-06-24</c:v>
                </c:pt>
                <c:pt idx="65">
                  <c:v>2026-06-25</c:v>
                </c:pt>
                <c:pt idx="66">
                  <c:v>2026-06-26</c:v>
                </c:pt>
                <c:pt idx="67">
                  <c:v>2026-06-27</c:v>
                </c:pt>
                <c:pt idx="68">
                  <c:v>2026-06-28</c:v>
                </c:pt>
                <c:pt idx="69">
                  <c:v>2026-06-29</c:v>
                </c:pt>
                <c:pt idx="70">
                  <c:v>2026-06-30</c:v>
                </c:pt>
                <c:pt idx="71">
                  <c:v>2026-07-01</c:v>
                </c:pt>
                <c:pt idx="72">
                  <c:v>2026-07-02</c:v>
                </c:pt>
                <c:pt idx="73">
                  <c:v>2026-07-03</c:v>
                </c:pt>
                <c:pt idx="74">
                  <c:v>2026-07-04</c:v>
                </c:pt>
                <c:pt idx="75">
                  <c:v>2026-07-05</c:v>
                </c:pt>
                <c:pt idx="76">
                  <c:v>2026-07-06</c:v>
                </c:pt>
                <c:pt idx="77">
                  <c:v>2026-07-07</c:v>
                </c:pt>
                <c:pt idx="78">
                  <c:v>2026-07-08</c:v>
                </c:pt>
                <c:pt idx="79">
                  <c:v>2026-07-09</c:v>
                </c:pt>
                <c:pt idx="80">
                  <c:v>2026-07-10</c:v>
                </c:pt>
                <c:pt idx="81">
                  <c:v>2026-07-11</c:v>
                </c:pt>
                <c:pt idx="82">
                  <c:v>2026-07-12</c:v>
                </c:pt>
                <c:pt idx="83">
                  <c:v>2026-07-13</c:v>
                </c:pt>
                <c:pt idx="84">
                  <c:v>2026-07-14</c:v>
                </c:pt>
                <c:pt idx="85">
                  <c:v>2026-07-15</c:v>
                </c:pt>
                <c:pt idx="86">
                  <c:v>2026-07-16</c:v>
                </c:pt>
                <c:pt idx="87">
                  <c:v>2026-07-17</c:v>
                </c:pt>
                <c:pt idx="88">
                  <c:v>2026-07-18</c:v>
                </c:pt>
                <c:pt idx="89">
                  <c:v>2026-07-19</c:v>
                </c:pt>
                <c:pt idx="90">
                  <c:v>2026-07-20</c:v>
                </c:pt>
                <c:pt idx="91">
                  <c:v>2026-07-21</c:v>
                </c:pt>
                <c:pt idx="92">
                  <c:v>2026-07-22</c:v>
                </c:pt>
                <c:pt idx="93">
                  <c:v>2026-07-23</c:v>
                </c:pt>
                <c:pt idx="94">
                  <c:v>2026-07-24</c:v>
                </c:pt>
                <c:pt idx="95">
                  <c:v>2026-07-25</c:v>
                </c:pt>
                <c:pt idx="96">
                  <c:v>2026-07-26</c:v>
                </c:pt>
                <c:pt idx="97">
                  <c:v>2026-07-27</c:v>
                </c:pt>
                <c:pt idx="98">
                  <c:v>2026-07-28</c:v>
                </c:pt>
                <c:pt idx="99">
                  <c:v>2026-07-29</c:v>
                </c:pt>
                <c:pt idx="100">
                  <c:v>2026-07-30</c:v>
                </c:pt>
                <c:pt idx="101">
                  <c:v>2026-07-31</c:v>
                </c:pt>
                <c:pt idx="102">
                  <c:v>2026-08-01</c:v>
                </c:pt>
                <c:pt idx="103">
                  <c:v>2026-08-02</c:v>
                </c:pt>
                <c:pt idx="104">
                  <c:v>2026-08-03</c:v>
                </c:pt>
                <c:pt idx="105">
                  <c:v>2026-08-04</c:v>
                </c:pt>
                <c:pt idx="106">
                  <c:v>2026-08-05</c:v>
                </c:pt>
                <c:pt idx="107">
                  <c:v>2026-08-06</c:v>
                </c:pt>
                <c:pt idx="108">
                  <c:v>2026-08-07</c:v>
                </c:pt>
                <c:pt idx="109">
                  <c:v>2026-08-08</c:v>
                </c:pt>
                <c:pt idx="110">
                  <c:v>2026-08-09</c:v>
                </c:pt>
                <c:pt idx="111">
                  <c:v>2026-08-10</c:v>
                </c:pt>
                <c:pt idx="112">
                  <c:v>2026-08-11</c:v>
                </c:pt>
                <c:pt idx="113">
                  <c:v>2026-08-12</c:v>
                </c:pt>
                <c:pt idx="114">
                  <c:v>2026-08-13</c:v>
                </c:pt>
                <c:pt idx="115">
                  <c:v>2026-08-14</c:v>
                </c:pt>
                <c:pt idx="116">
                  <c:v>2026-08-15</c:v>
                </c:pt>
                <c:pt idx="117">
                  <c:v>2026-08-16</c:v>
                </c:pt>
                <c:pt idx="118">
                  <c:v>2026-08-17</c:v>
                </c:pt>
                <c:pt idx="119">
                  <c:v>2026-08-18</c:v>
                </c:pt>
                <c:pt idx="120">
                  <c:v>2026-08-19</c:v>
                </c:pt>
                <c:pt idx="121">
                  <c:v>2026-08-20</c:v>
                </c:pt>
                <c:pt idx="122">
                  <c:v>2026-08-21</c:v>
                </c:pt>
                <c:pt idx="123">
                  <c:v>2026-08-22</c:v>
                </c:pt>
                <c:pt idx="124">
                  <c:v>2026-08-23</c:v>
                </c:pt>
                <c:pt idx="125">
                  <c:v>2026-08-24</c:v>
                </c:pt>
                <c:pt idx="126">
                  <c:v>2026-08-25</c:v>
                </c:pt>
                <c:pt idx="127">
                  <c:v>2026-08-26</c:v>
                </c:pt>
                <c:pt idx="128">
                  <c:v>2026-08-27</c:v>
                </c:pt>
                <c:pt idx="129">
                  <c:v>2026-08-28</c:v>
                </c:pt>
                <c:pt idx="130">
                  <c:v>2026-08-29</c:v>
                </c:pt>
                <c:pt idx="131">
                  <c:v>2026-08-30</c:v>
                </c:pt>
                <c:pt idx="132">
                  <c:v>2026-08-31</c:v>
                </c:pt>
                <c:pt idx="133">
                  <c:v>2026-09-01</c:v>
                </c:pt>
                <c:pt idx="134">
                  <c:v>2026-09-02</c:v>
                </c:pt>
                <c:pt idx="135">
                  <c:v>2026-09-03</c:v>
                </c:pt>
                <c:pt idx="136">
                  <c:v>2026-09-04</c:v>
                </c:pt>
                <c:pt idx="137">
                  <c:v>2026-09-05</c:v>
                </c:pt>
                <c:pt idx="138">
                  <c:v>2026-09-06</c:v>
                </c:pt>
                <c:pt idx="139">
                  <c:v>2026-09-07</c:v>
                </c:pt>
                <c:pt idx="140">
                  <c:v>2026-09-08</c:v>
                </c:pt>
                <c:pt idx="141">
                  <c:v>2026-09-09</c:v>
                </c:pt>
                <c:pt idx="142">
                  <c:v>2026-09-10</c:v>
                </c:pt>
                <c:pt idx="143">
                  <c:v>2026-09-11</c:v>
                </c:pt>
                <c:pt idx="144">
                  <c:v>2026-09-12</c:v>
                </c:pt>
                <c:pt idx="145">
                  <c:v>2026-09-13</c:v>
                </c:pt>
                <c:pt idx="146">
                  <c:v>2026-09-14</c:v>
                </c:pt>
                <c:pt idx="147">
                  <c:v>2026-09-15</c:v>
                </c:pt>
                <c:pt idx="148">
                  <c:v>2026-09-16</c:v>
                </c:pt>
                <c:pt idx="149">
                  <c:v>2026-09-17</c:v>
                </c:pt>
                <c:pt idx="150">
                  <c:v>2026-09-18</c:v>
                </c:pt>
                <c:pt idx="151">
                  <c:v>2026-09-19</c:v>
                </c:pt>
                <c:pt idx="152">
                  <c:v>2026-09-20</c:v>
                </c:pt>
                <c:pt idx="153">
                  <c:v>2026-09-21</c:v>
                </c:pt>
                <c:pt idx="154">
                  <c:v>2026-09-22</c:v>
                </c:pt>
                <c:pt idx="155">
                  <c:v>2026-09-23</c:v>
                </c:pt>
                <c:pt idx="156">
                  <c:v>2026-09-24</c:v>
                </c:pt>
                <c:pt idx="157">
                  <c:v>2026-09-25</c:v>
                </c:pt>
                <c:pt idx="158">
                  <c:v>2026-09-26</c:v>
                </c:pt>
                <c:pt idx="159">
                  <c:v>2026-09-27</c:v>
                </c:pt>
                <c:pt idx="160">
                  <c:v>2026-09-28</c:v>
                </c:pt>
                <c:pt idx="161">
                  <c:v>2026-09-29</c:v>
                </c:pt>
                <c:pt idx="162">
                  <c:v>2026-09-30</c:v>
                </c:pt>
                <c:pt idx="163">
                  <c:v>2026-10-01</c:v>
                </c:pt>
                <c:pt idx="164">
                  <c:v>2026-10-02</c:v>
                </c:pt>
                <c:pt idx="165">
                  <c:v>2026-10-03</c:v>
                </c:pt>
                <c:pt idx="166">
                  <c:v>2026-10-04</c:v>
                </c:pt>
                <c:pt idx="167">
                  <c:v>2026-10-05</c:v>
                </c:pt>
                <c:pt idx="168">
                  <c:v>2026-10-06</c:v>
                </c:pt>
                <c:pt idx="169">
                  <c:v>2026-10-07</c:v>
                </c:pt>
                <c:pt idx="170">
                  <c:v>2026-10-08</c:v>
                </c:pt>
                <c:pt idx="171">
                  <c:v>2026-10-09</c:v>
                </c:pt>
                <c:pt idx="172">
                  <c:v>2026-10-10</c:v>
                </c:pt>
                <c:pt idx="173">
                  <c:v>2026-10-11</c:v>
                </c:pt>
                <c:pt idx="174">
                  <c:v>2026-10-12</c:v>
                </c:pt>
                <c:pt idx="175">
                  <c:v>2026-10-13</c:v>
                </c:pt>
                <c:pt idx="176">
                  <c:v>2026-10-14</c:v>
                </c:pt>
                <c:pt idx="177">
                  <c:v>2026-10-15</c:v>
                </c:pt>
                <c:pt idx="178">
                  <c:v>2026-10-16</c:v>
                </c:pt>
                <c:pt idx="179">
                  <c:v>2026-10-17</c:v>
                </c:pt>
                <c:pt idx="180">
                  <c:v>2026-10-18</c:v>
                </c:pt>
                <c:pt idx="181">
                  <c:v>2026-10-19</c:v>
                </c:pt>
                <c:pt idx="182">
                  <c:v>2026-10-20</c:v>
                </c:pt>
              </c:strCache>
            </c:strRef>
          </c:cat>
          <c:val>
            <c:numRef>
              <c:f>日別データ!$C$2:$C$184</c:f>
              <c:numCache>
                <c:formatCode>General</c:formatCode>
                <c:ptCount val="183"/>
                <c:pt idx="0">
                  <c:v>170</c:v>
                </c:pt>
                <c:pt idx="1">
                  <c:v>285</c:v>
                </c:pt>
                <c:pt idx="2">
                  <c:v>279</c:v>
                </c:pt>
                <c:pt idx="3">
                  <c:v>271</c:v>
                </c:pt>
                <c:pt idx="4">
                  <c:v>181</c:v>
                </c:pt>
                <c:pt idx="5">
                  <c:v>326</c:v>
                </c:pt>
                <c:pt idx="6">
                  <c:v>417</c:v>
                </c:pt>
                <c:pt idx="7">
                  <c:v>464</c:v>
                </c:pt>
                <c:pt idx="8">
                  <c:v>402</c:v>
                </c:pt>
                <c:pt idx="9">
                  <c:v>376</c:v>
                </c:pt>
                <c:pt idx="10">
                  <c:v>286</c:v>
                </c:pt>
                <c:pt idx="11">
                  <c:v>155</c:v>
                </c:pt>
                <c:pt idx="12">
                  <c:v>158</c:v>
                </c:pt>
                <c:pt idx="13">
                  <c:v>232</c:v>
                </c:pt>
                <c:pt idx="14">
                  <c:v>367</c:v>
                </c:pt>
                <c:pt idx="15">
                  <c:v>459</c:v>
                </c:pt>
                <c:pt idx="16">
                  <c:v>446</c:v>
                </c:pt>
                <c:pt idx="17">
                  <c:v>393</c:v>
                </c:pt>
                <c:pt idx="18">
                  <c:v>368</c:v>
                </c:pt>
                <c:pt idx="19">
                  <c:v>421</c:v>
                </c:pt>
                <c:pt idx="20">
                  <c:v>375</c:v>
                </c:pt>
                <c:pt idx="21">
                  <c:v>351</c:v>
                </c:pt>
                <c:pt idx="22">
                  <c:v>338</c:v>
                </c:pt>
                <c:pt idx="23">
                  <c:v>269</c:v>
                </c:pt>
                <c:pt idx="24">
                  <c:v>236</c:v>
                </c:pt>
                <c:pt idx="25">
                  <c:v>176</c:v>
                </c:pt>
                <c:pt idx="26">
                  <c:v>272</c:v>
                </c:pt>
                <c:pt idx="27">
                  <c:v>313</c:v>
                </c:pt>
                <c:pt idx="28">
                  <c:v>315</c:v>
                </c:pt>
                <c:pt idx="29">
                  <c:v>299</c:v>
                </c:pt>
                <c:pt idx="30">
                  <c:v>256</c:v>
                </c:pt>
                <c:pt idx="31">
                  <c:v>197</c:v>
                </c:pt>
                <c:pt idx="32">
                  <c:v>174</c:v>
                </c:pt>
                <c:pt idx="33">
                  <c:v>243</c:v>
                </c:pt>
                <c:pt idx="34">
                  <c:v>273</c:v>
                </c:pt>
                <c:pt idx="35">
                  <c:v>288</c:v>
                </c:pt>
                <c:pt idx="36">
                  <c:v>298</c:v>
                </c:pt>
                <c:pt idx="37">
                  <c:v>268</c:v>
                </c:pt>
                <c:pt idx="38">
                  <c:v>264</c:v>
                </c:pt>
                <c:pt idx="39">
                  <c:v>245</c:v>
                </c:pt>
                <c:pt idx="40">
                  <c:v>314</c:v>
                </c:pt>
                <c:pt idx="41">
                  <c:v>361</c:v>
                </c:pt>
                <c:pt idx="42">
                  <c:v>374</c:v>
                </c:pt>
                <c:pt idx="43">
                  <c:v>381</c:v>
                </c:pt>
                <c:pt idx="44">
                  <c:v>395</c:v>
                </c:pt>
                <c:pt idx="45">
                  <c:v>386</c:v>
                </c:pt>
                <c:pt idx="46">
                  <c:v>403</c:v>
                </c:pt>
                <c:pt idx="47">
                  <c:v>459</c:v>
                </c:pt>
                <c:pt idx="48">
                  <c:v>475</c:v>
                </c:pt>
                <c:pt idx="49">
                  <c:v>486</c:v>
                </c:pt>
                <c:pt idx="50">
                  <c:v>493</c:v>
                </c:pt>
                <c:pt idx="51">
                  <c:v>489</c:v>
                </c:pt>
                <c:pt idx="52">
                  <c:v>456</c:v>
                </c:pt>
                <c:pt idx="53">
                  <c:v>437</c:v>
                </c:pt>
                <c:pt idx="54">
                  <c:v>477</c:v>
                </c:pt>
                <c:pt idx="55">
                  <c:v>476</c:v>
                </c:pt>
                <c:pt idx="56">
                  <c:v>482</c:v>
                </c:pt>
                <c:pt idx="57">
                  <c:v>479</c:v>
                </c:pt>
                <c:pt idx="58">
                  <c:v>481</c:v>
                </c:pt>
                <c:pt idx="59">
                  <c:v>455</c:v>
                </c:pt>
                <c:pt idx="60">
                  <c:v>436</c:v>
                </c:pt>
                <c:pt idx="61">
                  <c:v>494</c:v>
                </c:pt>
                <c:pt idx="62">
                  <c:v>497</c:v>
                </c:pt>
                <c:pt idx="63">
                  <c:v>504</c:v>
                </c:pt>
                <c:pt idx="64">
                  <c:v>509</c:v>
                </c:pt>
                <c:pt idx="65">
                  <c:v>475</c:v>
                </c:pt>
                <c:pt idx="66">
                  <c:v>467</c:v>
                </c:pt>
                <c:pt idx="67">
                  <c:v>458</c:v>
                </c:pt>
                <c:pt idx="68">
                  <c:v>495</c:v>
                </c:pt>
                <c:pt idx="69">
                  <c:v>488</c:v>
                </c:pt>
                <c:pt idx="70">
                  <c:v>485</c:v>
                </c:pt>
                <c:pt idx="71">
                  <c:v>478</c:v>
                </c:pt>
                <c:pt idx="72">
                  <c:v>466</c:v>
                </c:pt>
                <c:pt idx="73">
                  <c:v>443</c:v>
                </c:pt>
                <c:pt idx="74">
                  <c:v>429</c:v>
                </c:pt>
                <c:pt idx="75">
                  <c:v>465</c:v>
                </c:pt>
                <c:pt idx="76">
                  <c:v>478</c:v>
                </c:pt>
                <c:pt idx="77">
                  <c:v>495</c:v>
                </c:pt>
                <c:pt idx="78">
                  <c:v>501</c:v>
                </c:pt>
                <c:pt idx="79">
                  <c:v>487</c:v>
                </c:pt>
                <c:pt idx="80">
                  <c:v>479</c:v>
                </c:pt>
                <c:pt idx="81">
                  <c:v>450</c:v>
                </c:pt>
                <c:pt idx="82">
                  <c:v>501</c:v>
                </c:pt>
                <c:pt idx="83">
                  <c:v>511</c:v>
                </c:pt>
                <c:pt idx="84">
                  <c:v>505</c:v>
                </c:pt>
                <c:pt idx="85">
                  <c:v>504</c:v>
                </c:pt>
                <c:pt idx="86">
                  <c:v>494</c:v>
                </c:pt>
                <c:pt idx="87">
                  <c:v>494</c:v>
                </c:pt>
                <c:pt idx="88">
                  <c:v>467</c:v>
                </c:pt>
                <c:pt idx="89">
                  <c:v>501</c:v>
                </c:pt>
                <c:pt idx="90">
                  <c:v>505</c:v>
                </c:pt>
                <c:pt idx="91">
                  <c:v>505</c:v>
                </c:pt>
                <c:pt idx="92">
                  <c:v>509</c:v>
                </c:pt>
                <c:pt idx="93">
                  <c:v>514</c:v>
                </c:pt>
                <c:pt idx="94">
                  <c:v>483</c:v>
                </c:pt>
                <c:pt idx="95">
                  <c:v>455</c:v>
                </c:pt>
                <c:pt idx="96">
                  <c:v>506</c:v>
                </c:pt>
                <c:pt idx="97">
                  <c:v>523</c:v>
                </c:pt>
                <c:pt idx="98">
                  <c:v>516</c:v>
                </c:pt>
                <c:pt idx="99">
                  <c:v>545</c:v>
                </c:pt>
                <c:pt idx="100">
                  <c:v>539</c:v>
                </c:pt>
                <c:pt idx="101">
                  <c:v>532</c:v>
                </c:pt>
                <c:pt idx="102">
                  <c:v>504</c:v>
                </c:pt>
                <c:pt idx="103">
                  <c:v>534</c:v>
                </c:pt>
                <c:pt idx="104">
                  <c:v>559</c:v>
                </c:pt>
                <c:pt idx="105">
                  <c:v>559</c:v>
                </c:pt>
                <c:pt idx="106">
                  <c:v>562</c:v>
                </c:pt>
                <c:pt idx="107">
                  <c:v>563</c:v>
                </c:pt>
                <c:pt idx="108">
                  <c:v>545</c:v>
                </c:pt>
                <c:pt idx="109">
                  <c:v>538</c:v>
                </c:pt>
                <c:pt idx="110">
                  <c:v>564</c:v>
                </c:pt>
                <c:pt idx="111">
                  <c:v>569</c:v>
                </c:pt>
                <c:pt idx="112">
                  <c:v>572</c:v>
                </c:pt>
                <c:pt idx="113">
                  <c:v>573</c:v>
                </c:pt>
                <c:pt idx="114">
                  <c:v>567</c:v>
                </c:pt>
                <c:pt idx="115">
                  <c:v>569</c:v>
                </c:pt>
                <c:pt idx="116">
                  <c:v>573</c:v>
                </c:pt>
                <c:pt idx="117">
                  <c:v>592</c:v>
                </c:pt>
                <c:pt idx="118">
                  <c:v>610</c:v>
                </c:pt>
                <c:pt idx="119">
                  <c:v>614</c:v>
                </c:pt>
                <c:pt idx="120">
                  <c:v>602</c:v>
                </c:pt>
                <c:pt idx="121">
                  <c:v>602</c:v>
                </c:pt>
                <c:pt idx="122">
                  <c:v>591</c:v>
                </c:pt>
                <c:pt idx="123">
                  <c:v>591</c:v>
                </c:pt>
                <c:pt idx="124">
                  <c:v>615</c:v>
                </c:pt>
                <c:pt idx="125">
                  <c:v>622</c:v>
                </c:pt>
                <c:pt idx="126">
                  <c:v>618</c:v>
                </c:pt>
                <c:pt idx="127">
                  <c:v>620</c:v>
                </c:pt>
                <c:pt idx="128">
                  <c:v>622</c:v>
                </c:pt>
                <c:pt idx="129">
                  <c:v>612</c:v>
                </c:pt>
                <c:pt idx="130">
                  <c:v>609</c:v>
                </c:pt>
                <c:pt idx="131">
                  <c:v>639</c:v>
                </c:pt>
                <c:pt idx="132">
                  <c:v>646</c:v>
                </c:pt>
                <c:pt idx="133">
                  <c:v>627</c:v>
                </c:pt>
                <c:pt idx="134">
                  <c:v>623</c:v>
                </c:pt>
                <c:pt idx="135">
                  <c:v>618</c:v>
                </c:pt>
                <c:pt idx="136">
                  <c:v>597</c:v>
                </c:pt>
                <c:pt idx="137">
                  <c:v>591</c:v>
                </c:pt>
                <c:pt idx="138">
                  <c:v>609</c:v>
                </c:pt>
                <c:pt idx="139">
                  <c:v>611</c:v>
                </c:pt>
                <c:pt idx="140">
                  <c:v>617</c:v>
                </c:pt>
                <c:pt idx="141">
                  <c:v>622</c:v>
                </c:pt>
                <c:pt idx="142">
                  <c:v>613</c:v>
                </c:pt>
                <c:pt idx="143">
                  <c:v>604</c:v>
                </c:pt>
                <c:pt idx="144">
                  <c:v>593</c:v>
                </c:pt>
                <c:pt idx="145">
                  <c:v>623</c:v>
                </c:pt>
                <c:pt idx="146">
                  <c:v>626</c:v>
                </c:pt>
                <c:pt idx="147">
                  <c:v>619</c:v>
                </c:pt>
                <c:pt idx="148">
                  <c:v>615</c:v>
                </c:pt>
                <c:pt idx="149">
                  <c:v>601</c:v>
                </c:pt>
                <c:pt idx="150">
                  <c:v>567</c:v>
                </c:pt>
                <c:pt idx="151">
                  <c:v>534</c:v>
                </c:pt>
                <c:pt idx="152">
                  <c:v>545</c:v>
                </c:pt>
                <c:pt idx="153">
                  <c:v>566</c:v>
                </c:pt>
                <c:pt idx="154">
                  <c:v>565</c:v>
                </c:pt>
                <c:pt idx="155">
                  <c:v>569</c:v>
                </c:pt>
                <c:pt idx="156">
                  <c:v>574</c:v>
                </c:pt>
                <c:pt idx="157">
                  <c:v>567</c:v>
                </c:pt>
                <c:pt idx="158">
                  <c:v>564</c:v>
                </c:pt>
                <c:pt idx="159">
                  <c:v>592</c:v>
                </c:pt>
                <c:pt idx="160">
                  <c:v>598</c:v>
                </c:pt>
                <c:pt idx="161">
                  <c:v>597</c:v>
                </c:pt>
                <c:pt idx="162">
                  <c:v>583</c:v>
                </c:pt>
                <c:pt idx="163">
                  <c:v>548</c:v>
                </c:pt>
                <c:pt idx="164">
                  <c:v>525</c:v>
                </c:pt>
                <c:pt idx="165">
                  <c:v>502</c:v>
                </c:pt>
                <c:pt idx="166">
                  <c:v>515</c:v>
                </c:pt>
                <c:pt idx="167">
                  <c:v>522</c:v>
                </c:pt>
                <c:pt idx="168">
                  <c:v>522</c:v>
                </c:pt>
                <c:pt idx="169">
                  <c:v>519</c:v>
                </c:pt>
                <c:pt idx="170">
                  <c:v>510</c:v>
                </c:pt>
                <c:pt idx="171">
                  <c:v>508</c:v>
                </c:pt>
                <c:pt idx="172">
                  <c:v>486</c:v>
                </c:pt>
                <c:pt idx="173">
                  <c:v>501</c:v>
                </c:pt>
                <c:pt idx="174">
                  <c:v>516</c:v>
                </c:pt>
                <c:pt idx="175">
                  <c:v>522</c:v>
                </c:pt>
                <c:pt idx="176">
                  <c:v>526</c:v>
                </c:pt>
                <c:pt idx="177">
                  <c:v>512</c:v>
                </c:pt>
                <c:pt idx="178">
                  <c:v>491</c:v>
                </c:pt>
                <c:pt idx="179">
                  <c:v>467</c:v>
                </c:pt>
                <c:pt idx="180">
                  <c:v>401</c:v>
                </c:pt>
                <c:pt idx="181">
                  <c:v>409</c:v>
                </c:pt>
                <c:pt idx="182">
                  <c:v>431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686113"/>
        <c:axId val="71785027"/>
      </c:lineChart>
      <c:catAx>
        <c:axId val="746861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785027"/>
        <c:crosses val="autoZero"/>
        <c:auto val="1"/>
        <c:lblAlgn val="ctr"/>
        <c:lblOffset val="100"/>
        <c:noMultiLvlLbl val="0"/>
      </c:catAx>
      <c:valAx>
        <c:axId val="717850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68611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18</xdr:col>
      <xdr:colOff>404280</xdr:colOff>
      <xdr:row>29</xdr:row>
      <xdr:rowOff>65520</xdr:rowOff>
    </xdr:to>
    <xdr:graphicFrame>
      <xdr:nvGraphicFramePr>
        <xdr:cNvPr id="1" name="Chart 1"/>
        <xdr:cNvGraphicFramePr/>
      </xdr:nvGraphicFramePr>
      <xdr:xfrm>
        <a:off x="611640" y="190440"/>
        <a:ext cx="10799640" cy="53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s">
        <v>5</v>
      </c>
      <c r="C2" s="0" t="n">
        <v>170</v>
      </c>
    </row>
    <row r="3" customFormat="false" ht="15" hidden="false" customHeight="false" outlineLevel="0" collapsed="false">
      <c r="A3" s="0" t="s">
        <v>6</v>
      </c>
      <c r="B3" s="2" t="s">
        <v>7</v>
      </c>
      <c r="C3" s="0" t="n">
        <v>285</v>
      </c>
      <c r="D3" s="0" t="n">
        <f aca="false">C3-C2</f>
        <v>115</v>
      </c>
    </row>
    <row r="4" customFormat="false" ht="15" hidden="false" customHeight="false" outlineLevel="0" collapsed="false">
      <c r="A4" s="0" t="s">
        <v>8</v>
      </c>
      <c r="B4" s="2" t="s">
        <v>9</v>
      </c>
      <c r="C4" s="0" t="n">
        <v>279</v>
      </c>
      <c r="D4" s="0" t="n">
        <f aca="false">C4-C3</f>
        <v>-6</v>
      </c>
    </row>
    <row r="5" customFormat="false" ht="15" hidden="false" customHeight="false" outlineLevel="0" collapsed="false">
      <c r="A5" s="0" t="s">
        <v>10</v>
      </c>
      <c r="B5" s="2" t="s">
        <v>11</v>
      </c>
      <c r="C5" s="0" t="n">
        <v>271</v>
      </c>
      <c r="D5" s="0" t="n">
        <f aca="false">C5-C4</f>
        <v>-8</v>
      </c>
    </row>
    <row r="6" customFormat="false" ht="15" hidden="false" customHeight="false" outlineLevel="0" collapsed="false">
      <c r="A6" s="0" t="s">
        <v>12</v>
      </c>
      <c r="B6" s="2" t="s">
        <v>13</v>
      </c>
      <c r="C6" s="0" t="n">
        <v>181</v>
      </c>
      <c r="D6" s="0" t="n">
        <f aca="false">C6-C5</f>
        <v>-90</v>
      </c>
    </row>
    <row r="7" customFormat="false" ht="15" hidden="false" customHeight="false" outlineLevel="0" collapsed="false">
      <c r="A7" s="0" t="s">
        <v>14</v>
      </c>
      <c r="B7" s="2" t="s">
        <v>15</v>
      </c>
      <c r="C7" s="0" t="n">
        <v>326</v>
      </c>
      <c r="D7" s="0" t="n">
        <f aca="false">C7-C6</f>
        <v>145</v>
      </c>
    </row>
    <row r="8" customFormat="false" ht="15" hidden="false" customHeight="false" outlineLevel="0" collapsed="false">
      <c r="A8" s="0" t="s">
        <v>16</v>
      </c>
      <c r="B8" s="2" t="s">
        <v>17</v>
      </c>
      <c r="C8" s="0" t="n">
        <v>417</v>
      </c>
      <c r="D8" s="0" t="n">
        <f aca="false">C8-C7</f>
        <v>91</v>
      </c>
    </row>
    <row r="9" customFormat="false" ht="15" hidden="false" customHeight="false" outlineLevel="0" collapsed="false">
      <c r="A9" s="0" t="s">
        <v>18</v>
      </c>
      <c r="B9" s="2" t="s">
        <v>5</v>
      </c>
      <c r="C9" s="0" t="n">
        <v>464</v>
      </c>
      <c r="D9" s="0" t="n">
        <f aca="false">C9-C8</f>
        <v>47</v>
      </c>
    </row>
    <row r="10" customFormat="false" ht="15" hidden="false" customHeight="false" outlineLevel="0" collapsed="false">
      <c r="A10" s="0" t="s">
        <v>19</v>
      </c>
      <c r="B10" s="2" t="s">
        <v>7</v>
      </c>
      <c r="C10" s="0" t="n">
        <v>402</v>
      </c>
      <c r="D10" s="0" t="n">
        <f aca="false">C10-C9</f>
        <v>-62</v>
      </c>
    </row>
    <row r="11" customFormat="false" ht="15" hidden="false" customHeight="false" outlineLevel="0" collapsed="false">
      <c r="A11" s="0" t="s">
        <v>20</v>
      </c>
      <c r="B11" s="2" t="s">
        <v>9</v>
      </c>
      <c r="C11" s="0" t="n">
        <v>376</v>
      </c>
      <c r="D11" s="0" t="n">
        <f aca="false">C11-C10</f>
        <v>-26</v>
      </c>
    </row>
    <row r="12" customFormat="false" ht="15" hidden="false" customHeight="false" outlineLevel="0" collapsed="false">
      <c r="A12" s="0" t="s">
        <v>21</v>
      </c>
      <c r="B12" s="2" t="s">
        <v>11</v>
      </c>
      <c r="C12" s="0" t="n">
        <v>286</v>
      </c>
      <c r="D12" s="0" t="n">
        <f aca="false">C12-C11</f>
        <v>-90</v>
      </c>
    </row>
    <row r="13" customFormat="false" ht="15" hidden="false" customHeight="false" outlineLevel="0" collapsed="false">
      <c r="A13" s="0" t="s">
        <v>22</v>
      </c>
      <c r="B13" s="2" t="s">
        <v>13</v>
      </c>
      <c r="C13" s="0" t="n">
        <v>155</v>
      </c>
      <c r="D13" s="0" t="n">
        <f aca="false">C13-C12</f>
        <v>-131</v>
      </c>
    </row>
    <row r="14" customFormat="false" ht="15" hidden="false" customHeight="false" outlineLevel="0" collapsed="false">
      <c r="A14" s="0" t="s">
        <v>23</v>
      </c>
      <c r="B14" s="2" t="s">
        <v>15</v>
      </c>
      <c r="C14" s="0" t="n">
        <v>158</v>
      </c>
      <c r="D14" s="0" t="n">
        <f aca="false">C14-C13</f>
        <v>3</v>
      </c>
    </row>
    <row r="15" customFormat="false" ht="15" hidden="false" customHeight="false" outlineLevel="0" collapsed="false">
      <c r="A15" s="0" t="s">
        <v>24</v>
      </c>
      <c r="B15" s="2" t="s">
        <v>17</v>
      </c>
      <c r="C15" s="0" t="n">
        <v>232</v>
      </c>
      <c r="D15" s="0" t="n">
        <f aca="false">C15-C14</f>
        <v>74</v>
      </c>
    </row>
    <row r="16" customFormat="false" ht="15" hidden="false" customHeight="false" outlineLevel="0" collapsed="false">
      <c r="A16" s="0" t="s">
        <v>25</v>
      </c>
      <c r="B16" s="2" t="s">
        <v>5</v>
      </c>
      <c r="C16" s="0" t="n">
        <v>367</v>
      </c>
      <c r="D16" s="0" t="n">
        <f aca="false">C16-C15</f>
        <v>135</v>
      </c>
    </row>
    <row r="17" customFormat="false" ht="15" hidden="false" customHeight="false" outlineLevel="0" collapsed="false">
      <c r="A17" s="0" t="s">
        <v>26</v>
      </c>
      <c r="B17" s="2" t="s">
        <v>7</v>
      </c>
      <c r="C17" s="0" t="n">
        <v>459</v>
      </c>
      <c r="D17" s="0" t="n">
        <f aca="false">C17-C16</f>
        <v>92</v>
      </c>
    </row>
    <row r="18" customFormat="false" ht="15" hidden="false" customHeight="false" outlineLevel="0" collapsed="false">
      <c r="A18" s="0" t="s">
        <v>27</v>
      </c>
      <c r="B18" s="2" t="s">
        <v>9</v>
      </c>
      <c r="C18" s="0" t="n">
        <v>446</v>
      </c>
      <c r="D18" s="0" t="n">
        <f aca="false">C18-C17</f>
        <v>-13</v>
      </c>
    </row>
    <row r="19" customFormat="false" ht="15" hidden="false" customHeight="false" outlineLevel="0" collapsed="false">
      <c r="A19" s="0" t="s">
        <v>28</v>
      </c>
      <c r="B19" s="2" t="s">
        <v>11</v>
      </c>
      <c r="C19" s="0" t="n">
        <v>393</v>
      </c>
      <c r="D19" s="0" t="n">
        <f aca="false">C19-C18</f>
        <v>-53</v>
      </c>
    </row>
    <row r="20" customFormat="false" ht="15" hidden="false" customHeight="false" outlineLevel="0" collapsed="false">
      <c r="A20" s="0" t="s">
        <v>29</v>
      </c>
      <c r="B20" s="2" t="s">
        <v>13</v>
      </c>
      <c r="C20" s="0" t="n">
        <v>368</v>
      </c>
      <c r="D20" s="0" t="n">
        <f aca="false">C20-C19</f>
        <v>-25</v>
      </c>
    </row>
    <row r="21" customFormat="false" ht="15" hidden="false" customHeight="false" outlineLevel="0" collapsed="false">
      <c r="A21" s="0" t="s">
        <v>30</v>
      </c>
      <c r="B21" s="2" t="s">
        <v>15</v>
      </c>
      <c r="C21" s="0" t="n">
        <v>421</v>
      </c>
      <c r="D21" s="0" t="n">
        <f aca="false">C21-C20</f>
        <v>53</v>
      </c>
    </row>
    <row r="22" customFormat="false" ht="15" hidden="false" customHeight="false" outlineLevel="0" collapsed="false">
      <c r="A22" s="0" t="s">
        <v>31</v>
      </c>
      <c r="B22" s="2" t="s">
        <v>17</v>
      </c>
      <c r="C22" s="0" t="n">
        <v>375</v>
      </c>
      <c r="D22" s="0" t="n">
        <f aca="false">C22-C21</f>
        <v>-46</v>
      </c>
    </row>
    <row r="23" customFormat="false" ht="15" hidden="false" customHeight="false" outlineLevel="0" collapsed="false">
      <c r="A23" s="0" t="s">
        <v>32</v>
      </c>
      <c r="B23" s="2" t="s">
        <v>5</v>
      </c>
      <c r="C23" s="0" t="n">
        <v>351</v>
      </c>
      <c r="D23" s="0" t="n">
        <f aca="false">C23-C22</f>
        <v>-24</v>
      </c>
    </row>
    <row r="24" customFormat="false" ht="15" hidden="false" customHeight="false" outlineLevel="0" collapsed="false">
      <c r="A24" s="0" t="s">
        <v>33</v>
      </c>
      <c r="B24" s="2" t="s">
        <v>7</v>
      </c>
      <c r="C24" s="0" t="n">
        <v>338</v>
      </c>
      <c r="D24" s="0" t="n">
        <f aca="false">C24-C23</f>
        <v>-13</v>
      </c>
    </row>
    <row r="25" customFormat="false" ht="15" hidden="false" customHeight="false" outlineLevel="0" collapsed="false">
      <c r="A25" s="0" t="s">
        <v>34</v>
      </c>
      <c r="B25" s="2" t="s">
        <v>9</v>
      </c>
      <c r="C25" s="0" t="n">
        <v>269</v>
      </c>
      <c r="D25" s="0" t="n">
        <f aca="false">C25-C24</f>
        <v>-69</v>
      </c>
    </row>
    <row r="26" customFormat="false" ht="15" hidden="false" customHeight="false" outlineLevel="0" collapsed="false">
      <c r="A26" s="0" t="s">
        <v>35</v>
      </c>
      <c r="B26" s="2" t="s">
        <v>11</v>
      </c>
      <c r="C26" s="0" t="n">
        <v>236</v>
      </c>
      <c r="D26" s="0" t="n">
        <f aca="false">C26-C25</f>
        <v>-33</v>
      </c>
    </row>
    <row r="27" customFormat="false" ht="15" hidden="false" customHeight="false" outlineLevel="0" collapsed="false">
      <c r="A27" s="0" t="s">
        <v>36</v>
      </c>
      <c r="B27" s="2" t="s">
        <v>13</v>
      </c>
      <c r="C27" s="0" t="n">
        <v>176</v>
      </c>
      <c r="D27" s="0" t="n">
        <f aca="false">C27-C26</f>
        <v>-60</v>
      </c>
    </row>
    <row r="28" customFormat="false" ht="15" hidden="false" customHeight="false" outlineLevel="0" collapsed="false">
      <c r="A28" s="0" t="s">
        <v>37</v>
      </c>
      <c r="B28" s="2" t="s">
        <v>15</v>
      </c>
      <c r="C28" s="0" t="n">
        <v>272</v>
      </c>
      <c r="D28" s="0" t="n">
        <f aca="false">C28-C27</f>
        <v>96</v>
      </c>
    </row>
    <row r="29" customFormat="false" ht="15" hidden="false" customHeight="false" outlineLevel="0" collapsed="false">
      <c r="A29" s="0" t="s">
        <v>38</v>
      </c>
      <c r="B29" s="2" t="s">
        <v>17</v>
      </c>
      <c r="C29" s="0" t="n">
        <v>313</v>
      </c>
      <c r="D29" s="0" t="n">
        <f aca="false">C29-C28</f>
        <v>41</v>
      </c>
    </row>
    <row r="30" customFormat="false" ht="15" hidden="false" customHeight="false" outlineLevel="0" collapsed="false">
      <c r="A30" s="0" t="s">
        <v>39</v>
      </c>
      <c r="B30" s="2" t="s">
        <v>5</v>
      </c>
      <c r="C30" s="0" t="n">
        <v>315</v>
      </c>
      <c r="D30" s="0" t="n">
        <f aca="false">C30-C29</f>
        <v>2</v>
      </c>
    </row>
    <row r="31" customFormat="false" ht="15" hidden="false" customHeight="false" outlineLevel="0" collapsed="false">
      <c r="A31" s="0" t="s">
        <v>40</v>
      </c>
      <c r="B31" s="2" t="s">
        <v>7</v>
      </c>
      <c r="C31" s="0" t="n">
        <v>299</v>
      </c>
      <c r="D31" s="0" t="n">
        <f aca="false">C31-C30</f>
        <v>-16</v>
      </c>
    </row>
    <row r="32" customFormat="false" ht="15" hidden="false" customHeight="false" outlineLevel="0" collapsed="false">
      <c r="A32" s="0" t="s">
        <v>41</v>
      </c>
      <c r="B32" s="2" t="s">
        <v>9</v>
      </c>
      <c r="C32" s="0" t="n">
        <v>256</v>
      </c>
      <c r="D32" s="0" t="n">
        <f aca="false">C32-C31</f>
        <v>-43</v>
      </c>
    </row>
    <row r="33" customFormat="false" ht="15" hidden="false" customHeight="false" outlineLevel="0" collapsed="false">
      <c r="A33" s="0" t="s">
        <v>42</v>
      </c>
      <c r="B33" s="2" t="s">
        <v>11</v>
      </c>
      <c r="C33" s="0" t="n">
        <v>197</v>
      </c>
      <c r="D33" s="0" t="n">
        <f aca="false">C33-C32</f>
        <v>-59</v>
      </c>
    </row>
    <row r="34" customFormat="false" ht="15" hidden="false" customHeight="false" outlineLevel="0" collapsed="false">
      <c r="A34" s="0" t="s">
        <v>43</v>
      </c>
      <c r="B34" s="2" t="s">
        <v>13</v>
      </c>
      <c r="C34" s="0" t="n">
        <v>174</v>
      </c>
      <c r="D34" s="0" t="n">
        <f aca="false">C34-C33</f>
        <v>-23</v>
      </c>
    </row>
    <row r="35" customFormat="false" ht="15" hidden="false" customHeight="false" outlineLevel="0" collapsed="false">
      <c r="A35" s="0" t="s">
        <v>44</v>
      </c>
      <c r="B35" s="2" t="s">
        <v>15</v>
      </c>
      <c r="C35" s="0" t="n">
        <v>243</v>
      </c>
      <c r="D35" s="0" t="n">
        <f aca="false">C35-C34</f>
        <v>69</v>
      </c>
    </row>
    <row r="36" customFormat="false" ht="15" hidden="false" customHeight="false" outlineLevel="0" collapsed="false">
      <c r="A36" s="0" t="s">
        <v>45</v>
      </c>
      <c r="B36" s="2" t="s">
        <v>17</v>
      </c>
      <c r="C36" s="0" t="n">
        <v>273</v>
      </c>
      <c r="D36" s="0" t="n">
        <f aca="false">C36-C35</f>
        <v>30</v>
      </c>
    </row>
    <row r="37" customFormat="false" ht="15" hidden="false" customHeight="false" outlineLevel="0" collapsed="false">
      <c r="A37" s="0" t="s">
        <v>46</v>
      </c>
      <c r="B37" s="2" t="s">
        <v>5</v>
      </c>
      <c r="C37" s="0" t="n">
        <v>288</v>
      </c>
      <c r="D37" s="0" t="n">
        <f aca="false">C37-C36</f>
        <v>15</v>
      </c>
    </row>
    <row r="38" customFormat="false" ht="15" hidden="false" customHeight="false" outlineLevel="0" collapsed="false">
      <c r="A38" s="0" t="s">
        <v>47</v>
      </c>
      <c r="B38" s="2" t="s">
        <v>7</v>
      </c>
      <c r="C38" s="0" t="n">
        <v>298</v>
      </c>
      <c r="D38" s="0" t="n">
        <f aca="false">C38-C37</f>
        <v>10</v>
      </c>
    </row>
    <row r="39" customFormat="false" ht="15" hidden="false" customHeight="false" outlineLevel="0" collapsed="false">
      <c r="A39" s="0" t="s">
        <v>48</v>
      </c>
      <c r="B39" s="2" t="s">
        <v>9</v>
      </c>
      <c r="C39" s="0" t="n">
        <v>268</v>
      </c>
      <c r="D39" s="0" t="n">
        <f aca="false">C39-C38</f>
        <v>-30</v>
      </c>
    </row>
    <row r="40" customFormat="false" ht="15" hidden="false" customHeight="false" outlineLevel="0" collapsed="false">
      <c r="A40" s="0" t="s">
        <v>49</v>
      </c>
      <c r="B40" s="2" t="s">
        <v>11</v>
      </c>
      <c r="C40" s="0" t="n">
        <v>264</v>
      </c>
      <c r="D40" s="0" t="n">
        <f aca="false">C40-C39</f>
        <v>-4</v>
      </c>
    </row>
    <row r="41" customFormat="false" ht="15" hidden="false" customHeight="false" outlineLevel="0" collapsed="false">
      <c r="A41" s="0" t="s">
        <v>50</v>
      </c>
      <c r="B41" s="2" t="s">
        <v>13</v>
      </c>
      <c r="C41" s="0" t="n">
        <v>245</v>
      </c>
      <c r="D41" s="0" t="n">
        <f aca="false">C41-C40</f>
        <v>-19</v>
      </c>
    </row>
    <row r="42" customFormat="false" ht="15" hidden="false" customHeight="false" outlineLevel="0" collapsed="false">
      <c r="A42" s="0" t="s">
        <v>51</v>
      </c>
      <c r="B42" s="2" t="s">
        <v>15</v>
      </c>
      <c r="C42" s="0" t="n">
        <v>314</v>
      </c>
      <c r="D42" s="0" t="n">
        <f aca="false">C42-C41</f>
        <v>69</v>
      </c>
    </row>
    <row r="43" customFormat="false" ht="15" hidden="false" customHeight="false" outlineLevel="0" collapsed="false">
      <c r="A43" s="0" t="s">
        <v>52</v>
      </c>
      <c r="B43" s="2" t="s">
        <v>17</v>
      </c>
      <c r="C43" s="0" t="n">
        <v>361</v>
      </c>
      <c r="D43" s="0" t="n">
        <f aca="false">C43-C42</f>
        <v>47</v>
      </c>
    </row>
    <row r="44" customFormat="false" ht="15" hidden="false" customHeight="false" outlineLevel="0" collapsed="false">
      <c r="A44" s="0" t="s">
        <v>53</v>
      </c>
      <c r="B44" s="2" t="s">
        <v>5</v>
      </c>
      <c r="C44" s="0" t="n">
        <v>374</v>
      </c>
      <c r="D44" s="0" t="n">
        <f aca="false">C44-C43</f>
        <v>13</v>
      </c>
    </row>
    <row r="45" customFormat="false" ht="15" hidden="false" customHeight="false" outlineLevel="0" collapsed="false">
      <c r="A45" s="0" t="s">
        <v>54</v>
      </c>
      <c r="B45" s="2" t="s">
        <v>7</v>
      </c>
      <c r="C45" s="0" t="n">
        <v>381</v>
      </c>
      <c r="D45" s="0" t="n">
        <f aca="false">C45-C44</f>
        <v>7</v>
      </c>
    </row>
    <row r="46" customFormat="false" ht="15" hidden="false" customHeight="false" outlineLevel="0" collapsed="false">
      <c r="A46" s="0" t="s">
        <v>55</v>
      </c>
      <c r="B46" s="2" t="s">
        <v>9</v>
      </c>
      <c r="C46" s="0" t="n">
        <v>395</v>
      </c>
      <c r="D46" s="0" t="n">
        <f aca="false">C46-C45</f>
        <v>14</v>
      </c>
    </row>
    <row r="47" customFormat="false" ht="15" hidden="false" customHeight="false" outlineLevel="0" collapsed="false">
      <c r="A47" s="0" t="s">
        <v>56</v>
      </c>
      <c r="B47" s="2" t="s">
        <v>11</v>
      </c>
      <c r="C47" s="0" t="n">
        <v>386</v>
      </c>
      <c r="D47" s="0" t="n">
        <f aca="false">C47-C46</f>
        <v>-9</v>
      </c>
    </row>
    <row r="48" customFormat="false" ht="15" hidden="false" customHeight="false" outlineLevel="0" collapsed="false">
      <c r="A48" s="0" t="s">
        <v>57</v>
      </c>
      <c r="B48" s="2" t="s">
        <v>13</v>
      </c>
      <c r="C48" s="0" t="n">
        <v>403</v>
      </c>
      <c r="D48" s="0" t="n">
        <f aca="false">C48-C47</f>
        <v>17</v>
      </c>
    </row>
    <row r="49" customFormat="false" ht="15" hidden="false" customHeight="false" outlineLevel="0" collapsed="false">
      <c r="A49" s="0" t="s">
        <v>58</v>
      </c>
      <c r="B49" s="2" t="s">
        <v>15</v>
      </c>
      <c r="C49" s="0" t="n">
        <v>459</v>
      </c>
      <c r="D49" s="0" t="n">
        <f aca="false">C49-C48</f>
        <v>56</v>
      </c>
    </row>
    <row r="50" customFormat="false" ht="15" hidden="false" customHeight="false" outlineLevel="0" collapsed="false">
      <c r="A50" s="0" t="s">
        <v>59</v>
      </c>
      <c r="B50" s="2" t="s">
        <v>17</v>
      </c>
      <c r="C50" s="0" t="n">
        <v>475</v>
      </c>
      <c r="D50" s="0" t="n">
        <f aca="false">C50-C49</f>
        <v>16</v>
      </c>
    </row>
    <row r="51" customFormat="false" ht="15" hidden="false" customHeight="false" outlineLevel="0" collapsed="false">
      <c r="A51" s="0" t="s">
        <v>60</v>
      </c>
      <c r="B51" s="2" t="s">
        <v>5</v>
      </c>
      <c r="C51" s="0" t="n">
        <v>486</v>
      </c>
      <c r="D51" s="0" t="n">
        <f aca="false">C51-C50</f>
        <v>11</v>
      </c>
    </row>
    <row r="52" customFormat="false" ht="15" hidden="false" customHeight="false" outlineLevel="0" collapsed="false">
      <c r="A52" s="0" t="s">
        <v>61</v>
      </c>
      <c r="B52" s="2" t="s">
        <v>7</v>
      </c>
      <c r="C52" s="0" t="n">
        <v>493</v>
      </c>
      <c r="D52" s="0" t="n">
        <f aca="false">C52-C51</f>
        <v>7</v>
      </c>
    </row>
    <row r="53" customFormat="false" ht="15" hidden="false" customHeight="false" outlineLevel="0" collapsed="false">
      <c r="A53" s="0" t="s">
        <v>62</v>
      </c>
      <c r="B53" s="2" t="s">
        <v>9</v>
      </c>
      <c r="C53" s="0" t="n">
        <v>489</v>
      </c>
      <c r="D53" s="0" t="n">
        <f aca="false">C53-C52</f>
        <v>-4</v>
      </c>
    </row>
    <row r="54" customFormat="false" ht="15" hidden="false" customHeight="false" outlineLevel="0" collapsed="false">
      <c r="A54" s="0" t="s">
        <v>63</v>
      </c>
      <c r="B54" s="2" t="s">
        <v>11</v>
      </c>
      <c r="C54" s="0" t="n">
        <v>456</v>
      </c>
      <c r="D54" s="0" t="n">
        <f aca="false">C54-C53</f>
        <v>-33</v>
      </c>
    </row>
    <row r="55" customFormat="false" ht="15" hidden="false" customHeight="false" outlineLevel="0" collapsed="false">
      <c r="A55" s="0" t="s">
        <v>64</v>
      </c>
      <c r="B55" s="2" t="s">
        <v>13</v>
      </c>
      <c r="C55" s="0" t="n">
        <v>437</v>
      </c>
      <c r="D55" s="0" t="n">
        <f aca="false">C55-C54</f>
        <v>-19</v>
      </c>
    </row>
    <row r="56" customFormat="false" ht="15" hidden="false" customHeight="false" outlineLevel="0" collapsed="false">
      <c r="A56" s="0" t="s">
        <v>65</v>
      </c>
      <c r="B56" s="2" t="s">
        <v>15</v>
      </c>
      <c r="C56" s="0" t="n">
        <v>477</v>
      </c>
      <c r="D56" s="0" t="n">
        <f aca="false">C56-C55</f>
        <v>40</v>
      </c>
    </row>
    <row r="57" customFormat="false" ht="15" hidden="false" customHeight="false" outlineLevel="0" collapsed="false">
      <c r="A57" s="0" t="s">
        <v>66</v>
      </c>
      <c r="B57" s="2" t="s">
        <v>17</v>
      </c>
      <c r="C57" s="0" t="n">
        <v>476</v>
      </c>
      <c r="D57" s="0" t="n">
        <f aca="false">C57-C56</f>
        <v>-1</v>
      </c>
    </row>
    <row r="58" customFormat="false" ht="15" hidden="false" customHeight="false" outlineLevel="0" collapsed="false">
      <c r="A58" s="0" t="s">
        <v>67</v>
      </c>
      <c r="B58" s="2" t="s">
        <v>5</v>
      </c>
      <c r="C58" s="0" t="n">
        <v>482</v>
      </c>
      <c r="D58" s="0" t="n">
        <f aca="false">C58-C57</f>
        <v>6</v>
      </c>
    </row>
    <row r="59" customFormat="false" ht="15" hidden="false" customHeight="false" outlineLevel="0" collapsed="false">
      <c r="A59" s="0" t="s">
        <v>68</v>
      </c>
      <c r="B59" s="2" t="s">
        <v>7</v>
      </c>
      <c r="C59" s="0" t="n">
        <v>479</v>
      </c>
      <c r="D59" s="0" t="n">
        <f aca="false">C59-C58</f>
        <v>-3</v>
      </c>
    </row>
    <row r="60" customFormat="false" ht="15" hidden="false" customHeight="false" outlineLevel="0" collapsed="false">
      <c r="A60" s="0" t="s">
        <v>69</v>
      </c>
      <c r="B60" s="2" t="s">
        <v>9</v>
      </c>
      <c r="C60" s="0" t="n">
        <v>481</v>
      </c>
      <c r="D60" s="0" t="n">
        <f aca="false">C60-C59</f>
        <v>2</v>
      </c>
    </row>
    <row r="61" customFormat="false" ht="15" hidden="false" customHeight="false" outlineLevel="0" collapsed="false">
      <c r="A61" s="0" t="s">
        <v>70</v>
      </c>
      <c r="B61" s="2" t="s">
        <v>11</v>
      </c>
      <c r="C61" s="0" t="n">
        <v>455</v>
      </c>
      <c r="D61" s="0" t="n">
        <f aca="false">C61-C60</f>
        <v>-26</v>
      </c>
    </row>
    <row r="62" customFormat="false" ht="15" hidden="false" customHeight="false" outlineLevel="0" collapsed="false">
      <c r="A62" s="0" t="s">
        <v>71</v>
      </c>
      <c r="B62" s="2" t="s">
        <v>13</v>
      </c>
      <c r="C62" s="0" t="n">
        <v>436</v>
      </c>
      <c r="D62" s="0" t="n">
        <f aca="false">C62-C61</f>
        <v>-19</v>
      </c>
    </row>
    <row r="63" customFormat="false" ht="15" hidden="false" customHeight="false" outlineLevel="0" collapsed="false">
      <c r="A63" s="0" t="s">
        <v>72</v>
      </c>
      <c r="B63" s="2" t="s">
        <v>15</v>
      </c>
      <c r="C63" s="0" t="n">
        <v>494</v>
      </c>
      <c r="D63" s="0" t="n">
        <f aca="false">C63-C62</f>
        <v>58</v>
      </c>
    </row>
    <row r="64" customFormat="false" ht="15" hidden="false" customHeight="false" outlineLevel="0" collapsed="false">
      <c r="A64" s="0" t="s">
        <v>73</v>
      </c>
      <c r="B64" s="2" t="s">
        <v>17</v>
      </c>
      <c r="C64" s="0" t="n">
        <v>497</v>
      </c>
      <c r="D64" s="0" t="n">
        <f aca="false">C64-C63</f>
        <v>3</v>
      </c>
    </row>
    <row r="65" customFormat="false" ht="15" hidden="false" customHeight="false" outlineLevel="0" collapsed="false">
      <c r="A65" s="0" t="s">
        <v>74</v>
      </c>
      <c r="B65" s="2" t="s">
        <v>5</v>
      </c>
      <c r="C65" s="0" t="n">
        <v>504</v>
      </c>
      <c r="D65" s="0" t="n">
        <f aca="false">C65-C64</f>
        <v>7</v>
      </c>
    </row>
    <row r="66" customFormat="false" ht="15" hidden="false" customHeight="false" outlineLevel="0" collapsed="false">
      <c r="A66" s="0" t="s">
        <v>75</v>
      </c>
      <c r="B66" s="2" t="s">
        <v>7</v>
      </c>
      <c r="C66" s="0" t="n">
        <v>509</v>
      </c>
      <c r="D66" s="0" t="n">
        <f aca="false">C66-C65</f>
        <v>5</v>
      </c>
    </row>
    <row r="67" customFormat="false" ht="15" hidden="false" customHeight="false" outlineLevel="0" collapsed="false">
      <c r="A67" s="0" t="s">
        <v>76</v>
      </c>
      <c r="B67" s="2" t="s">
        <v>9</v>
      </c>
      <c r="C67" s="0" t="n">
        <v>475</v>
      </c>
      <c r="D67" s="0" t="n">
        <f aca="false">C67-C66</f>
        <v>-34</v>
      </c>
    </row>
    <row r="68" customFormat="false" ht="15" hidden="false" customHeight="false" outlineLevel="0" collapsed="false">
      <c r="A68" s="0" t="s">
        <v>77</v>
      </c>
      <c r="B68" s="2" t="s">
        <v>11</v>
      </c>
      <c r="C68" s="0" t="n">
        <v>467</v>
      </c>
      <c r="D68" s="0" t="n">
        <f aca="false">C68-C67</f>
        <v>-8</v>
      </c>
    </row>
    <row r="69" customFormat="false" ht="15" hidden="false" customHeight="false" outlineLevel="0" collapsed="false">
      <c r="A69" s="0" t="s">
        <v>78</v>
      </c>
      <c r="B69" s="2" t="s">
        <v>13</v>
      </c>
      <c r="C69" s="0" t="n">
        <v>458</v>
      </c>
      <c r="D69" s="0" t="n">
        <f aca="false">C69-C68</f>
        <v>-9</v>
      </c>
    </row>
    <row r="70" customFormat="false" ht="15" hidden="false" customHeight="false" outlineLevel="0" collapsed="false">
      <c r="A70" s="0" t="s">
        <v>79</v>
      </c>
      <c r="B70" s="2" t="s">
        <v>15</v>
      </c>
      <c r="C70" s="0" t="n">
        <v>495</v>
      </c>
      <c r="D70" s="0" t="n">
        <f aca="false">C70-C69</f>
        <v>37</v>
      </c>
    </row>
    <row r="71" customFormat="false" ht="15" hidden="false" customHeight="false" outlineLevel="0" collapsed="false">
      <c r="A71" s="0" t="s">
        <v>80</v>
      </c>
      <c r="B71" s="2" t="s">
        <v>17</v>
      </c>
      <c r="C71" s="0" t="n">
        <v>488</v>
      </c>
      <c r="D71" s="0" t="n">
        <f aca="false">C71-C70</f>
        <v>-7</v>
      </c>
    </row>
    <row r="72" customFormat="false" ht="15" hidden="false" customHeight="false" outlineLevel="0" collapsed="false">
      <c r="A72" s="0" t="s">
        <v>81</v>
      </c>
      <c r="B72" s="2" t="s">
        <v>5</v>
      </c>
      <c r="C72" s="0" t="n">
        <v>485</v>
      </c>
      <c r="D72" s="0" t="n">
        <f aca="false">C72-C71</f>
        <v>-3</v>
      </c>
    </row>
    <row r="73" customFormat="false" ht="15" hidden="false" customHeight="false" outlineLevel="0" collapsed="false">
      <c r="A73" s="0" t="s">
        <v>82</v>
      </c>
      <c r="B73" s="2" t="s">
        <v>7</v>
      </c>
      <c r="C73" s="0" t="n">
        <v>478</v>
      </c>
      <c r="D73" s="0" t="n">
        <f aca="false">C73-C72</f>
        <v>-7</v>
      </c>
    </row>
    <row r="74" customFormat="false" ht="15" hidden="false" customHeight="false" outlineLevel="0" collapsed="false">
      <c r="A74" s="0" t="s">
        <v>83</v>
      </c>
      <c r="B74" s="2" t="s">
        <v>9</v>
      </c>
      <c r="C74" s="0" t="n">
        <v>466</v>
      </c>
      <c r="D74" s="0" t="n">
        <f aca="false">C74-C73</f>
        <v>-12</v>
      </c>
    </row>
    <row r="75" customFormat="false" ht="15" hidden="false" customHeight="false" outlineLevel="0" collapsed="false">
      <c r="A75" s="0" t="s">
        <v>84</v>
      </c>
      <c r="B75" s="2" t="s">
        <v>11</v>
      </c>
      <c r="C75" s="0" t="n">
        <v>443</v>
      </c>
      <c r="D75" s="0" t="n">
        <f aca="false">C75-C74</f>
        <v>-23</v>
      </c>
    </row>
    <row r="76" customFormat="false" ht="15" hidden="false" customHeight="false" outlineLevel="0" collapsed="false">
      <c r="A76" s="0" t="s">
        <v>85</v>
      </c>
      <c r="B76" s="2" t="s">
        <v>13</v>
      </c>
      <c r="C76" s="0" t="n">
        <v>429</v>
      </c>
      <c r="D76" s="0" t="n">
        <f aca="false">C76-C75</f>
        <v>-14</v>
      </c>
    </row>
    <row r="77" customFormat="false" ht="15" hidden="false" customHeight="false" outlineLevel="0" collapsed="false">
      <c r="A77" s="0" t="s">
        <v>86</v>
      </c>
      <c r="B77" s="2" t="s">
        <v>15</v>
      </c>
      <c r="C77" s="0" t="n">
        <v>465</v>
      </c>
      <c r="D77" s="0" t="n">
        <f aca="false">C77-C76</f>
        <v>36</v>
      </c>
    </row>
    <row r="78" customFormat="false" ht="15" hidden="false" customHeight="false" outlineLevel="0" collapsed="false">
      <c r="A78" s="0" t="s">
        <v>87</v>
      </c>
      <c r="B78" s="2" t="s">
        <v>17</v>
      </c>
      <c r="C78" s="0" t="n">
        <v>478</v>
      </c>
      <c r="D78" s="0" t="n">
        <f aca="false">C78-C77</f>
        <v>13</v>
      </c>
    </row>
    <row r="79" customFormat="false" ht="15" hidden="false" customHeight="false" outlineLevel="0" collapsed="false">
      <c r="A79" s="0" t="s">
        <v>88</v>
      </c>
      <c r="B79" s="2" t="s">
        <v>5</v>
      </c>
      <c r="C79" s="0" t="n">
        <v>495</v>
      </c>
      <c r="D79" s="0" t="n">
        <f aca="false">C79-C78</f>
        <v>17</v>
      </c>
    </row>
    <row r="80" customFormat="false" ht="15" hidden="false" customHeight="false" outlineLevel="0" collapsed="false">
      <c r="A80" s="0" t="s">
        <v>89</v>
      </c>
      <c r="B80" s="2" t="s">
        <v>7</v>
      </c>
      <c r="C80" s="0" t="n">
        <v>501</v>
      </c>
      <c r="D80" s="0" t="n">
        <f aca="false">C80-C79</f>
        <v>6</v>
      </c>
    </row>
    <row r="81" customFormat="false" ht="15" hidden="false" customHeight="false" outlineLevel="0" collapsed="false">
      <c r="A81" s="0" t="s">
        <v>90</v>
      </c>
      <c r="B81" s="2" t="s">
        <v>9</v>
      </c>
      <c r="C81" s="0" t="n">
        <v>487</v>
      </c>
      <c r="D81" s="0" t="n">
        <f aca="false">C81-C80</f>
        <v>-14</v>
      </c>
    </row>
    <row r="82" customFormat="false" ht="15" hidden="false" customHeight="false" outlineLevel="0" collapsed="false">
      <c r="A82" s="0" t="s">
        <v>91</v>
      </c>
      <c r="B82" s="2" t="s">
        <v>11</v>
      </c>
      <c r="C82" s="0" t="n">
        <v>479</v>
      </c>
      <c r="D82" s="0" t="n">
        <f aca="false">C82-C81</f>
        <v>-8</v>
      </c>
    </row>
    <row r="83" customFormat="false" ht="15" hidden="false" customHeight="false" outlineLevel="0" collapsed="false">
      <c r="A83" s="0" t="s">
        <v>92</v>
      </c>
      <c r="B83" s="2" t="s">
        <v>13</v>
      </c>
      <c r="C83" s="0" t="n">
        <v>450</v>
      </c>
      <c r="D83" s="0" t="n">
        <f aca="false">C83-C82</f>
        <v>-29</v>
      </c>
    </row>
    <row r="84" customFormat="false" ht="15" hidden="false" customHeight="false" outlineLevel="0" collapsed="false">
      <c r="A84" s="0" t="s">
        <v>93</v>
      </c>
      <c r="B84" s="2" t="s">
        <v>15</v>
      </c>
      <c r="C84" s="0" t="n">
        <v>501</v>
      </c>
      <c r="D84" s="0" t="n">
        <f aca="false">C84-C83</f>
        <v>51</v>
      </c>
    </row>
    <row r="85" customFormat="false" ht="15" hidden="false" customHeight="false" outlineLevel="0" collapsed="false">
      <c r="A85" s="0" t="s">
        <v>94</v>
      </c>
      <c r="B85" s="2" t="s">
        <v>17</v>
      </c>
      <c r="C85" s="0" t="n">
        <v>511</v>
      </c>
      <c r="D85" s="0" t="n">
        <f aca="false">C85-C84</f>
        <v>10</v>
      </c>
    </row>
    <row r="86" customFormat="false" ht="15" hidden="false" customHeight="false" outlineLevel="0" collapsed="false">
      <c r="A86" s="0" t="s">
        <v>95</v>
      </c>
      <c r="B86" s="2" t="s">
        <v>5</v>
      </c>
      <c r="C86" s="0" t="n">
        <v>505</v>
      </c>
      <c r="D86" s="0" t="n">
        <f aca="false">C86-C85</f>
        <v>-6</v>
      </c>
    </row>
    <row r="87" customFormat="false" ht="15" hidden="false" customHeight="false" outlineLevel="0" collapsed="false">
      <c r="A87" s="0" t="s">
        <v>96</v>
      </c>
      <c r="B87" s="2" t="s">
        <v>7</v>
      </c>
      <c r="C87" s="0" t="n">
        <v>504</v>
      </c>
      <c r="D87" s="0" t="n">
        <f aca="false">C87-C86</f>
        <v>-1</v>
      </c>
    </row>
    <row r="88" customFormat="false" ht="15" hidden="false" customHeight="false" outlineLevel="0" collapsed="false">
      <c r="A88" s="0" t="s">
        <v>97</v>
      </c>
      <c r="B88" s="2" t="s">
        <v>9</v>
      </c>
      <c r="C88" s="0" t="n">
        <v>494</v>
      </c>
      <c r="D88" s="0" t="n">
        <f aca="false">C88-C87</f>
        <v>-10</v>
      </c>
    </row>
    <row r="89" customFormat="false" ht="15" hidden="false" customHeight="false" outlineLevel="0" collapsed="false">
      <c r="A89" s="0" t="s">
        <v>98</v>
      </c>
      <c r="B89" s="2" t="s">
        <v>11</v>
      </c>
      <c r="C89" s="0" t="n">
        <v>494</v>
      </c>
      <c r="D89" s="0" t="n">
        <f aca="false">C89-C88</f>
        <v>0</v>
      </c>
    </row>
    <row r="90" customFormat="false" ht="15" hidden="false" customHeight="false" outlineLevel="0" collapsed="false">
      <c r="A90" s="0" t="s">
        <v>99</v>
      </c>
      <c r="B90" s="2" t="s">
        <v>13</v>
      </c>
      <c r="C90" s="0" t="n">
        <v>467</v>
      </c>
      <c r="D90" s="0" t="n">
        <f aca="false">C90-C89</f>
        <v>-27</v>
      </c>
    </row>
    <row r="91" customFormat="false" ht="15" hidden="false" customHeight="false" outlineLevel="0" collapsed="false">
      <c r="A91" s="0" t="s">
        <v>100</v>
      </c>
      <c r="B91" s="2" t="s">
        <v>15</v>
      </c>
      <c r="C91" s="0" t="n">
        <v>501</v>
      </c>
      <c r="D91" s="0" t="n">
        <f aca="false">C91-C90</f>
        <v>34</v>
      </c>
    </row>
    <row r="92" customFormat="false" ht="15" hidden="false" customHeight="false" outlineLevel="0" collapsed="false">
      <c r="A92" s="0" t="s">
        <v>101</v>
      </c>
      <c r="B92" s="2" t="s">
        <v>17</v>
      </c>
      <c r="C92" s="0" t="n">
        <v>505</v>
      </c>
      <c r="D92" s="0" t="n">
        <f aca="false">C92-C91</f>
        <v>4</v>
      </c>
    </row>
    <row r="93" customFormat="false" ht="15" hidden="false" customHeight="false" outlineLevel="0" collapsed="false">
      <c r="A93" s="0" t="s">
        <v>102</v>
      </c>
      <c r="B93" s="2" t="s">
        <v>5</v>
      </c>
      <c r="C93" s="0" t="n">
        <v>505</v>
      </c>
      <c r="D93" s="0" t="n">
        <f aca="false">C93-C92</f>
        <v>0</v>
      </c>
    </row>
    <row r="94" customFormat="false" ht="15" hidden="false" customHeight="false" outlineLevel="0" collapsed="false">
      <c r="A94" s="0" t="s">
        <v>103</v>
      </c>
      <c r="B94" s="2" t="s">
        <v>7</v>
      </c>
      <c r="C94" s="0" t="n">
        <v>509</v>
      </c>
      <c r="D94" s="0" t="n">
        <f aca="false">C94-C93</f>
        <v>4</v>
      </c>
    </row>
    <row r="95" customFormat="false" ht="15" hidden="false" customHeight="false" outlineLevel="0" collapsed="false">
      <c r="A95" s="0" t="s">
        <v>104</v>
      </c>
      <c r="B95" s="2" t="s">
        <v>9</v>
      </c>
      <c r="C95" s="0" t="n">
        <v>514</v>
      </c>
      <c r="D95" s="0" t="n">
        <f aca="false">C95-C94</f>
        <v>5</v>
      </c>
    </row>
    <row r="96" customFormat="false" ht="15" hidden="false" customHeight="false" outlineLevel="0" collapsed="false">
      <c r="A96" s="0" t="s">
        <v>105</v>
      </c>
      <c r="B96" s="2" t="s">
        <v>11</v>
      </c>
      <c r="C96" s="0" t="n">
        <v>483</v>
      </c>
      <c r="D96" s="0" t="n">
        <f aca="false">C96-C95</f>
        <v>-31</v>
      </c>
    </row>
    <row r="97" customFormat="false" ht="15" hidden="false" customHeight="false" outlineLevel="0" collapsed="false">
      <c r="A97" s="0" t="s">
        <v>106</v>
      </c>
      <c r="B97" s="2" t="s">
        <v>13</v>
      </c>
      <c r="C97" s="0" t="n">
        <v>455</v>
      </c>
      <c r="D97" s="0" t="n">
        <f aca="false">C97-C96</f>
        <v>-28</v>
      </c>
    </row>
    <row r="98" customFormat="false" ht="15" hidden="false" customHeight="false" outlineLevel="0" collapsed="false">
      <c r="A98" s="0" t="s">
        <v>107</v>
      </c>
      <c r="B98" s="2" t="s">
        <v>15</v>
      </c>
      <c r="C98" s="0" t="n">
        <v>506</v>
      </c>
      <c r="D98" s="0" t="n">
        <f aca="false">C98-C97</f>
        <v>51</v>
      </c>
    </row>
    <row r="99" customFormat="false" ht="15" hidden="false" customHeight="false" outlineLevel="0" collapsed="false">
      <c r="A99" s="0" t="s">
        <v>108</v>
      </c>
      <c r="B99" s="2" t="s">
        <v>17</v>
      </c>
      <c r="C99" s="0" t="n">
        <v>523</v>
      </c>
      <c r="D99" s="0" t="n">
        <f aca="false">C99-C98</f>
        <v>17</v>
      </c>
    </row>
    <row r="100" customFormat="false" ht="15" hidden="false" customHeight="false" outlineLevel="0" collapsed="false">
      <c r="A100" s="0" t="s">
        <v>109</v>
      </c>
      <c r="B100" s="2" t="s">
        <v>5</v>
      </c>
      <c r="C100" s="0" t="n">
        <v>516</v>
      </c>
      <c r="D100" s="0" t="n">
        <f aca="false">C100-C99</f>
        <v>-7</v>
      </c>
    </row>
    <row r="101" customFormat="false" ht="15" hidden="false" customHeight="false" outlineLevel="0" collapsed="false">
      <c r="A101" s="0" t="s">
        <v>110</v>
      </c>
      <c r="B101" s="2" t="s">
        <v>7</v>
      </c>
      <c r="C101" s="0" t="n">
        <v>545</v>
      </c>
      <c r="D101" s="0" t="n">
        <f aca="false">C101-C100</f>
        <v>29</v>
      </c>
    </row>
    <row r="102" customFormat="false" ht="15" hidden="false" customHeight="false" outlineLevel="0" collapsed="false">
      <c r="A102" s="0" t="s">
        <v>111</v>
      </c>
      <c r="B102" s="2" t="s">
        <v>9</v>
      </c>
      <c r="C102" s="0" t="n">
        <v>539</v>
      </c>
      <c r="D102" s="0" t="n">
        <f aca="false">C102-C101</f>
        <v>-6</v>
      </c>
    </row>
    <row r="103" customFormat="false" ht="15" hidden="false" customHeight="false" outlineLevel="0" collapsed="false">
      <c r="A103" s="0" t="s">
        <v>112</v>
      </c>
      <c r="B103" s="2" t="s">
        <v>11</v>
      </c>
      <c r="C103" s="0" t="n">
        <v>532</v>
      </c>
      <c r="D103" s="0" t="n">
        <f aca="false">C103-C102</f>
        <v>-7</v>
      </c>
    </row>
    <row r="104" customFormat="false" ht="15" hidden="false" customHeight="false" outlineLevel="0" collapsed="false">
      <c r="A104" s="0" t="s">
        <v>113</v>
      </c>
      <c r="B104" s="2" t="s">
        <v>13</v>
      </c>
      <c r="C104" s="0" t="n">
        <v>504</v>
      </c>
      <c r="D104" s="0" t="n">
        <f aca="false">C104-C103</f>
        <v>-28</v>
      </c>
    </row>
    <row r="105" customFormat="false" ht="15" hidden="false" customHeight="false" outlineLevel="0" collapsed="false">
      <c r="A105" s="0" t="s">
        <v>114</v>
      </c>
      <c r="B105" s="2" t="s">
        <v>15</v>
      </c>
      <c r="C105" s="0" t="n">
        <v>534</v>
      </c>
      <c r="D105" s="0" t="n">
        <f aca="false">C105-C104</f>
        <v>30</v>
      </c>
    </row>
    <row r="106" customFormat="false" ht="15" hidden="false" customHeight="false" outlineLevel="0" collapsed="false">
      <c r="A106" s="0" t="s">
        <v>115</v>
      </c>
      <c r="B106" s="2" t="s">
        <v>17</v>
      </c>
      <c r="C106" s="0" t="n">
        <v>559</v>
      </c>
      <c r="D106" s="0" t="n">
        <f aca="false">C106-C105</f>
        <v>25</v>
      </c>
    </row>
    <row r="107" customFormat="false" ht="15" hidden="false" customHeight="false" outlineLevel="0" collapsed="false">
      <c r="A107" s="0" t="s">
        <v>116</v>
      </c>
      <c r="B107" s="2" t="s">
        <v>5</v>
      </c>
      <c r="C107" s="0" t="n">
        <v>559</v>
      </c>
      <c r="D107" s="0" t="n">
        <f aca="false">C107-C106</f>
        <v>0</v>
      </c>
    </row>
    <row r="108" customFormat="false" ht="15" hidden="false" customHeight="false" outlineLevel="0" collapsed="false">
      <c r="A108" s="0" t="s">
        <v>117</v>
      </c>
      <c r="B108" s="2" t="s">
        <v>7</v>
      </c>
      <c r="C108" s="0" t="n">
        <v>562</v>
      </c>
      <c r="D108" s="0" t="n">
        <f aca="false">C108-C107</f>
        <v>3</v>
      </c>
    </row>
    <row r="109" customFormat="false" ht="15" hidden="false" customHeight="false" outlineLevel="0" collapsed="false">
      <c r="A109" s="0" t="s">
        <v>118</v>
      </c>
      <c r="B109" s="2" t="s">
        <v>9</v>
      </c>
      <c r="C109" s="0" t="n">
        <v>563</v>
      </c>
      <c r="D109" s="0" t="n">
        <f aca="false">C109-C108</f>
        <v>1</v>
      </c>
    </row>
    <row r="110" customFormat="false" ht="15" hidden="false" customHeight="false" outlineLevel="0" collapsed="false">
      <c r="A110" s="0" t="s">
        <v>119</v>
      </c>
      <c r="B110" s="2" t="s">
        <v>11</v>
      </c>
      <c r="C110" s="0" t="n">
        <v>545</v>
      </c>
      <c r="D110" s="0" t="n">
        <f aca="false">C110-C109</f>
        <v>-18</v>
      </c>
    </row>
    <row r="111" customFormat="false" ht="15" hidden="false" customHeight="false" outlineLevel="0" collapsed="false">
      <c r="A111" s="0" t="s">
        <v>120</v>
      </c>
      <c r="B111" s="2" t="s">
        <v>13</v>
      </c>
      <c r="C111" s="0" t="n">
        <v>538</v>
      </c>
      <c r="D111" s="0" t="n">
        <f aca="false">C111-C110</f>
        <v>-7</v>
      </c>
    </row>
    <row r="112" customFormat="false" ht="15" hidden="false" customHeight="false" outlineLevel="0" collapsed="false">
      <c r="A112" s="0" t="s">
        <v>121</v>
      </c>
      <c r="B112" s="2" t="s">
        <v>15</v>
      </c>
      <c r="C112" s="0" t="n">
        <v>564</v>
      </c>
      <c r="D112" s="0" t="n">
        <f aca="false">C112-C111</f>
        <v>26</v>
      </c>
    </row>
    <row r="113" customFormat="false" ht="15" hidden="false" customHeight="false" outlineLevel="0" collapsed="false">
      <c r="A113" s="0" t="s">
        <v>122</v>
      </c>
      <c r="B113" s="2" t="s">
        <v>17</v>
      </c>
      <c r="C113" s="0" t="n">
        <v>569</v>
      </c>
      <c r="D113" s="0" t="n">
        <f aca="false">C113-C112</f>
        <v>5</v>
      </c>
    </row>
    <row r="114" customFormat="false" ht="15" hidden="false" customHeight="false" outlineLevel="0" collapsed="false">
      <c r="A114" s="0" t="s">
        <v>123</v>
      </c>
      <c r="B114" s="2" t="s">
        <v>5</v>
      </c>
      <c r="C114" s="0" t="n">
        <v>572</v>
      </c>
      <c r="D114" s="0" t="n">
        <f aca="false">C114-C113</f>
        <v>3</v>
      </c>
    </row>
    <row r="115" customFormat="false" ht="15" hidden="false" customHeight="false" outlineLevel="0" collapsed="false">
      <c r="A115" s="0" t="s">
        <v>124</v>
      </c>
      <c r="B115" s="2" t="s">
        <v>7</v>
      </c>
      <c r="C115" s="0" t="n">
        <v>573</v>
      </c>
      <c r="D115" s="0" t="n">
        <f aca="false">C115-C114</f>
        <v>1</v>
      </c>
    </row>
    <row r="116" customFormat="false" ht="15" hidden="false" customHeight="false" outlineLevel="0" collapsed="false">
      <c r="A116" s="0" t="s">
        <v>125</v>
      </c>
      <c r="B116" s="2" t="s">
        <v>9</v>
      </c>
      <c r="C116" s="0" t="n">
        <v>567</v>
      </c>
      <c r="D116" s="0" t="n">
        <f aca="false">C116-C115</f>
        <v>-6</v>
      </c>
    </row>
    <row r="117" customFormat="false" ht="15" hidden="false" customHeight="false" outlineLevel="0" collapsed="false">
      <c r="A117" s="0" t="s">
        <v>126</v>
      </c>
      <c r="B117" s="2" t="s">
        <v>11</v>
      </c>
      <c r="C117" s="0" t="n">
        <v>569</v>
      </c>
      <c r="D117" s="0" t="n">
        <f aca="false">C117-C116</f>
        <v>2</v>
      </c>
    </row>
    <row r="118" customFormat="false" ht="15" hidden="false" customHeight="false" outlineLevel="0" collapsed="false">
      <c r="A118" s="0" t="s">
        <v>127</v>
      </c>
      <c r="B118" s="2" t="s">
        <v>13</v>
      </c>
      <c r="C118" s="0" t="n">
        <v>573</v>
      </c>
      <c r="D118" s="0" t="n">
        <f aca="false">C118-C117</f>
        <v>4</v>
      </c>
    </row>
    <row r="119" customFormat="false" ht="15" hidden="false" customHeight="false" outlineLevel="0" collapsed="false">
      <c r="A119" s="0" t="s">
        <v>128</v>
      </c>
      <c r="B119" s="2" t="s">
        <v>15</v>
      </c>
      <c r="C119" s="0" t="n">
        <v>592</v>
      </c>
      <c r="D119" s="0" t="n">
        <f aca="false">C119-C118</f>
        <v>19</v>
      </c>
    </row>
    <row r="120" customFormat="false" ht="15" hidden="false" customHeight="false" outlineLevel="0" collapsed="false">
      <c r="A120" s="0" t="s">
        <v>129</v>
      </c>
      <c r="B120" s="2" t="s">
        <v>17</v>
      </c>
      <c r="C120" s="0" t="n">
        <v>610</v>
      </c>
      <c r="D120" s="0" t="n">
        <f aca="false">C120-C119</f>
        <v>18</v>
      </c>
    </row>
    <row r="121" customFormat="false" ht="15" hidden="false" customHeight="false" outlineLevel="0" collapsed="false">
      <c r="A121" s="0" t="s">
        <v>130</v>
      </c>
      <c r="B121" s="2" t="s">
        <v>5</v>
      </c>
      <c r="C121" s="0" t="n">
        <v>614</v>
      </c>
      <c r="D121" s="0" t="n">
        <f aca="false">C121-C120</f>
        <v>4</v>
      </c>
    </row>
    <row r="122" customFormat="false" ht="15" hidden="false" customHeight="false" outlineLevel="0" collapsed="false">
      <c r="A122" s="0" t="s">
        <v>131</v>
      </c>
      <c r="B122" s="2" t="s">
        <v>7</v>
      </c>
      <c r="C122" s="0" t="n">
        <v>602</v>
      </c>
      <c r="D122" s="0" t="n">
        <f aca="false">C122-C121</f>
        <v>-12</v>
      </c>
    </row>
    <row r="123" customFormat="false" ht="15" hidden="false" customHeight="false" outlineLevel="0" collapsed="false">
      <c r="A123" s="0" t="s">
        <v>132</v>
      </c>
      <c r="B123" s="2" t="s">
        <v>9</v>
      </c>
      <c r="C123" s="0" t="n">
        <v>602</v>
      </c>
      <c r="D123" s="0" t="n">
        <f aca="false">C123-C122</f>
        <v>0</v>
      </c>
    </row>
    <row r="124" customFormat="false" ht="15" hidden="false" customHeight="false" outlineLevel="0" collapsed="false">
      <c r="A124" s="0" t="s">
        <v>133</v>
      </c>
      <c r="B124" s="2" t="s">
        <v>11</v>
      </c>
      <c r="C124" s="0" t="n">
        <v>591</v>
      </c>
      <c r="D124" s="0" t="n">
        <f aca="false">C124-C123</f>
        <v>-11</v>
      </c>
    </row>
    <row r="125" customFormat="false" ht="15" hidden="false" customHeight="false" outlineLevel="0" collapsed="false">
      <c r="A125" s="0" t="s">
        <v>134</v>
      </c>
      <c r="B125" s="2" t="s">
        <v>13</v>
      </c>
      <c r="C125" s="0" t="n">
        <v>591</v>
      </c>
      <c r="D125" s="0" t="n">
        <f aca="false">C125-C124</f>
        <v>0</v>
      </c>
    </row>
    <row r="126" customFormat="false" ht="15" hidden="false" customHeight="false" outlineLevel="0" collapsed="false">
      <c r="A126" s="0" t="s">
        <v>135</v>
      </c>
      <c r="B126" s="2" t="s">
        <v>15</v>
      </c>
      <c r="C126" s="0" t="n">
        <v>615</v>
      </c>
      <c r="D126" s="0" t="n">
        <f aca="false">C126-C125</f>
        <v>24</v>
      </c>
    </row>
    <row r="127" customFormat="false" ht="15" hidden="false" customHeight="false" outlineLevel="0" collapsed="false">
      <c r="A127" s="0" t="s">
        <v>136</v>
      </c>
      <c r="B127" s="2" t="s">
        <v>17</v>
      </c>
      <c r="C127" s="0" t="n">
        <v>622</v>
      </c>
      <c r="D127" s="0" t="n">
        <f aca="false">C127-C126</f>
        <v>7</v>
      </c>
    </row>
    <row r="128" customFormat="false" ht="15" hidden="false" customHeight="false" outlineLevel="0" collapsed="false">
      <c r="A128" s="0" t="s">
        <v>137</v>
      </c>
      <c r="B128" s="2" t="s">
        <v>5</v>
      </c>
      <c r="C128" s="0" t="n">
        <v>618</v>
      </c>
      <c r="D128" s="0" t="n">
        <f aca="false">C128-C127</f>
        <v>-4</v>
      </c>
    </row>
    <row r="129" customFormat="false" ht="15" hidden="false" customHeight="false" outlineLevel="0" collapsed="false">
      <c r="A129" s="0" t="s">
        <v>138</v>
      </c>
      <c r="B129" s="2" t="s">
        <v>7</v>
      </c>
      <c r="C129" s="0" t="n">
        <v>620</v>
      </c>
      <c r="D129" s="0" t="n">
        <f aca="false">C129-C128</f>
        <v>2</v>
      </c>
    </row>
    <row r="130" customFormat="false" ht="15" hidden="false" customHeight="false" outlineLevel="0" collapsed="false">
      <c r="A130" s="0" t="s">
        <v>139</v>
      </c>
      <c r="B130" s="2" t="s">
        <v>9</v>
      </c>
      <c r="C130" s="0" t="n">
        <v>622</v>
      </c>
      <c r="D130" s="0" t="n">
        <f aca="false">C130-C129</f>
        <v>2</v>
      </c>
    </row>
    <row r="131" customFormat="false" ht="15" hidden="false" customHeight="false" outlineLevel="0" collapsed="false">
      <c r="A131" s="0" t="s">
        <v>140</v>
      </c>
      <c r="B131" s="2" t="s">
        <v>11</v>
      </c>
      <c r="C131" s="0" t="n">
        <v>612</v>
      </c>
      <c r="D131" s="0" t="n">
        <f aca="false">C131-C130</f>
        <v>-10</v>
      </c>
    </row>
    <row r="132" customFormat="false" ht="15" hidden="false" customHeight="false" outlineLevel="0" collapsed="false">
      <c r="A132" s="0" t="s">
        <v>141</v>
      </c>
      <c r="B132" s="2" t="s">
        <v>13</v>
      </c>
      <c r="C132" s="0" t="n">
        <v>609</v>
      </c>
      <c r="D132" s="0" t="n">
        <f aca="false">C132-C131</f>
        <v>-3</v>
      </c>
    </row>
    <row r="133" customFormat="false" ht="15" hidden="false" customHeight="false" outlineLevel="0" collapsed="false">
      <c r="A133" s="0" t="s">
        <v>142</v>
      </c>
      <c r="B133" s="2" t="s">
        <v>15</v>
      </c>
      <c r="C133" s="0" t="n">
        <v>639</v>
      </c>
      <c r="D133" s="0" t="n">
        <f aca="false">C133-C132</f>
        <v>30</v>
      </c>
    </row>
    <row r="134" customFormat="false" ht="15" hidden="false" customHeight="false" outlineLevel="0" collapsed="false">
      <c r="A134" s="0" t="s">
        <v>143</v>
      </c>
      <c r="B134" s="2" t="s">
        <v>17</v>
      </c>
      <c r="C134" s="0" t="n">
        <v>646</v>
      </c>
      <c r="D134" s="0" t="n">
        <f aca="false">C134-C133</f>
        <v>7</v>
      </c>
    </row>
    <row r="135" customFormat="false" ht="15" hidden="false" customHeight="false" outlineLevel="0" collapsed="false">
      <c r="A135" s="0" t="s">
        <v>144</v>
      </c>
      <c r="B135" s="2" t="s">
        <v>5</v>
      </c>
      <c r="C135" s="0" t="n">
        <v>627</v>
      </c>
      <c r="D135" s="0" t="n">
        <f aca="false">C135-C134</f>
        <v>-19</v>
      </c>
    </row>
    <row r="136" customFormat="false" ht="15" hidden="false" customHeight="false" outlineLevel="0" collapsed="false">
      <c r="A136" s="0" t="s">
        <v>145</v>
      </c>
      <c r="B136" s="2" t="s">
        <v>7</v>
      </c>
      <c r="C136" s="0" t="n">
        <v>623</v>
      </c>
      <c r="D136" s="0" t="n">
        <f aca="false">C136-C135</f>
        <v>-4</v>
      </c>
    </row>
    <row r="137" customFormat="false" ht="15" hidden="false" customHeight="false" outlineLevel="0" collapsed="false">
      <c r="A137" s="0" t="s">
        <v>146</v>
      </c>
      <c r="B137" s="2" t="s">
        <v>9</v>
      </c>
      <c r="C137" s="0" t="n">
        <v>618</v>
      </c>
      <c r="D137" s="0" t="n">
        <f aca="false">C137-C136</f>
        <v>-5</v>
      </c>
    </row>
    <row r="138" customFormat="false" ht="15" hidden="false" customHeight="false" outlineLevel="0" collapsed="false">
      <c r="A138" s="0" t="s">
        <v>147</v>
      </c>
      <c r="B138" s="2" t="s">
        <v>11</v>
      </c>
      <c r="C138" s="0" t="n">
        <v>597</v>
      </c>
      <c r="D138" s="0" t="n">
        <f aca="false">C138-C137</f>
        <v>-21</v>
      </c>
    </row>
    <row r="139" customFormat="false" ht="15" hidden="false" customHeight="false" outlineLevel="0" collapsed="false">
      <c r="A139" s="0" t="s">
        <v>148</v>
      </c>
      <c r="B139" s="2" t="s">
        <v>13</v>
      </c>
      <c r="C139" s="0" t="n">
        <v>591</v>
      </c>
      <c r="D139" s="0" t="n">
        <f aca="false">C139-C138</f>
        <v>-6</v>
      </c>
    </row>
    <row r="140" customFormat="false" ht="15" hidden="false" customHeight="false" outlineLevel="0" collapsed="false">
      <c r="A140" s="0" t="s">
        <v>149</v>
      </c>
      <c r="B140" s="2" t="s">
        <v>15</v>
      </c>
      <c r="C140" s="0" t="n">
        <v>609</v>
      </c>
      <c r="D140" s="0" t="n">
        <f aca="false">C140-C139</f>
        <v>18</v>
      </c>
    </row>
    <row r="141" customFormat="false" ht="15" hidden="false" customHeight="false" outlineLevel="0" collapsed="false">
      <c r="A141" s="0" t="s">
        <v>150</v>
      </c>
      <c r="B141" s="2" t="s">
        <v>17</v>
      </c>
      <c r="C141" s="0" t="n">
        <v>611</v>
      </c>
      <c r="D141" s="0" t="n">
        <f aca="false">C141-C140</f>
        <v>2</v>
      </c>
    </row>
    <row r="142" customFormat="false" ht="15" hidden="false" customHeight="false" outlineLevel="0" collapsed="false">
      <c r="A142" s="0" t="s">
        <v>151</v>
      </c>
      <c r="B142" s="2" t="s">
        <v>5</v>
      </c>
      <c r="C142" s="0" t="n">
        <v>617</v>
      </c>
      <c r="D142" s="0" t="n">
        <f aca="false">C142-C141</f>
        <v>6</v>
      </c>
    </row>
    <row r="143" customFormat="false" ht="15" hidden="false" customHeight="false" outlineLevel="0" collapsed="false">
      <c r="A143" s="0" t="s">
        <v>152</v>
      </c>
      <c r="B143" s="2" t="s">
        <v>7</v>
      </c>
      <c r="C143" s="0" t="n">
        <v>622</v>
      </c>
      <c r="D143" s="0" t="n">
        <f aca="false">C143-C142</f>
        <v>5</v>
      </c>
    </row>
    <row r="144" customFormat="false" ht="15" hidden="false" customHeight="false" outlineLevel="0" collapsed="false">
      <c r="A144" s="0" t="s">
        <v>153</v>
      </c>
      <c r="B144" s="2" t="s">
        <v>9</v>
      </c>
      <c r="C144" s="0" t="n">
        <v>613</v>
      </c>
      <c r="D144" s="0" t="n">
        <f aca="false">C144-C143</f>
        <v>-9</v>
      </c>
    </row>
    <row r="145" customFormat="false" ht="15" hidden="false" customHeight="false" outlineLevel="0" collapsed="false">
      <c r="A145" s="0" t="s">
        <v>154</v>
      </c>
      <c r="B145" s="2" t="s">
        <v>11</v>
      </c>
      <c r="C145" s="0" t="n">
        <v>604</v>
      </c>
      <c r="D145" s="0" t="n">
        <f aca="false">C145-C144</f>
        <v>-9</v>
      </c>
    </row>
    <row r="146" customFormat="false" ht="15" hidden="false" customHeight="false" outlineLevel="0" collapsed="false">
      <c r="A146" s="0" t="s">
        <v>155</v>
      </c>
      <c r="B146" s="2" t="s">
        <v>13</v>
      </c>
      <c r="C146" s="0" t="n">
        <v>593</v>
      </c>
      <c r="D146" s="0" t="n">
        <f aca="false">C146-C145</f>
        <v>-11</v>
      </c>
    </row>
    <row r="147" customFormat="false" ht="15" hidden="false" customHeight="false" outlineLevel="0" collapsed="false">
      <c r="A147" s="0" t="s">
        <v>156</v>
      </c>
      <c r="B147" s="2" t="s">
        <v>15</v>
      </c>
      <c r="C147" s="0" t="n">
        <v>623</v>
      </c>
      <c r="D147" s="0" t="n">
        <f aca="false">C147-C146</f>
        <v>30</v>
      </c>
    </row>
    <row r="148" customFormat="false" ht="15" hidden="false" customHeight="false" outlineLevel="0" collapsed="false">
      <c r="A148" s="0" t="s">
        <v>157</v>
      </c>
      <c r="B148" s="2" t="s">
        <v>17</v>
      </c>
      <c r="C148" s="0" t="n">
        <v>626</v>
      </c>
      <c r="D148" s="0" t="n">
        <f aca="false">C148-C147</f>
        <v>3</v>
      </c>
    </row>
    <row r="149" customFormat="false" ht="15" hidden="false" customHeight="false" outlineLevel="0" collapsed="false">
      <c r="A149" s="0" t="s">
        <v>158</v>
      </c>
      <c r="B149" s="2" t="s">
        <v>5</v>
      </c>
      <c r="C149" s="0" t="n">
        <v>619</v>
      </c>
      <c r="D149" s="0" t="n">
        <f aca="false">C149-C148</f>
        <v>-7</v>
      </c>
    </row>
    <row r="150" customFormat="false" ht="15" hidden="false" customHeight="false" outlineLevel="0" collapsed="false">
      <c r="A150" s="0" t="s">
        <v>159</v>
      </c>
      <c r="B150" s="2" t="s">
        <v>7</v>
      </c>
      <c r="C150" s="0" t="n">
        <v>615</v>
      </c>
      <c r="D150" s="0" t="n">
        <f aca="false">C150-C149</f>
        <v>-4</v>
      </c>
    </row>
    <row r="151" customFormat="false" ht="15" hidden="false" customHeight="false" outlineLevel="0" collapsed="false">
      <c r="A151" s="0" t="s">
        <v>160</v>
      </c>
      <c r="B151" s="2" t="s">
        <v>9</v>
      </c>
      <c r="C151" s="0" t="n">
        <v>601</v>
      </c>
      <c r="D151" s="0" t="n">
        <f aca="false">C151-C150</f>
        <v>-14</v>
      </c>
    </row>
    <row r="152" customFormat="false" ht="15" hidden="false" customHeight="false" outlineLevel="0" collapsed="false">
      <c r="A152" s="0" t="s">
        <v>161</v>
      </c>
      <c r="B152" s="2" t="s">
        <v>11</v>
      </c>
      <c r="C152" s="0" t="n">
        <v>567</v>
      </c>
      <c r="D152" s="0" t="n">
        <f aca="false">C152-C151</f>
        <v>-34</v>
      </c>
    </row>
    <row r="153" customFormat="false" ht="15" hidden="false" customHeight="false" outlineLevel="0" collapsed="false">
      <c r="A153" s="0" t="s">
        <v>162</v>
      </c>
      <c r="B153" s="2" t="s">
        <v>13</v>
      </c>
      <c r="C153" s="0" t="n">
        <v>534</v>
      </c>
      <c r="D153" s="0" t="n">
        <f aca="false">C153-C152</f>
        <v>-33</v>
      </c>
    </row>
    <row r="154" customFormat="false" ht="15" hidden="false" customHeight="false" outlineLevel="0" collapsed="false">
      <c r="A154" s="0" t="s">
        <v>163</v>
      </c>
      <c r="B154" s="2" t="s">
        <v>15</v>
      </c>
      <c r="C154" s="0" t="n">
        <v>545</v>
      </c>
      <c r="D154" s="0" t="n">
        <f aca="false">C154-C153</f>
        <v>11</v>
      </c>
    </row>
    <row r="155" customFormat="false" ht="15" hidden="false" customHeight="false" outlineLevel="0" collapsed="false">
      <c r="A155" s="0" t="s">
        <v>164</v>
      </c>
      <c r="B155" s="2" t="s">
        <v>17</v>
      </c>
      <c r="C155" s="0" t="n">
        <v>566</v>
      </c>
      <c r="D155" s="0" t="n">
        <f aca="false">C155-C154</f>
        <v>21</v>
      </c>
    </row>
    <row r="156" customFormat="false" ht="15" hidden="false" customHeight="false" outlineLevel="0" collapsed="false">
      <c r="A156" s="0" t="s">
        <v>165</v>
      </c>
      <c r="B156" s="2" t="s">
        <v>5</v>
      </c>
      <c r="C156" s="0" t="n">
        <v>565</v>
      </c>
      <c r="D156" s="0" t="n">
        <f aca="false">C156-C155</f>
        <v>-1</v>
      </c>
    </row>
    <row r="157" customFormat="false" ht="15" hidden="false" customHeight="false" outlineLevel="0" collapsed="false">
      <c r="A157" s="0" t="s">
        <v>166</v>
      </c>
      <c r="B157" s="2" t="s">
        <v>7</v>
      </c>
      <c r="C157" s="0" t="n">
        <v>569</v>
      </c>
      <c r="D157" s="0" t="n">
        <f aca="false">C157-C156</f>
        <v>4</v>
      </c>
    </row>
    <row r="158" customFormat="false" ht="15" hidden="false" customHeight="false" outlineLevel="0" collapsed="false">
      <c r="A158" s="0" t="s">
        <v>167</v>
      </c>
      <c r="B158" s="2" t="s">
        <v>9</v>
      </c>
      <c r="C158" s="0" t="n">
        <v>574</v>
      </c>
      <c r="D158" s="0" t="n">
        <f aca="false">C158-C157</f>
        <v>5</v>
      </c>
    </row>
    <row r="159" customFormat="false" ht="15" hidden="false" customHeight="false" outlineLevel="0" collapsed="false">
      <c r="A159" s="0" t="s">
        <v>168</v>
      </c>
      <c r="B159" s="2" t="s">
        <v>11</v>
      </c>
      <c r="C159" s="0" t="n">
        <v>567</v>
      </c>
      <c r="D159" s="0" t="n">
        <f aca="false">C159-C158</f>
        <v>-7</v>
      </c>
    </row>
    <row r="160" customFormat="false" ht="15" hidden="false" customHeight="false" outlineLevel="0" collapsed="false">
      <c r="A160" s="0" t="s">
        <v>169</v>
      </c>
      <c r="B160" s="2" t="s">
        <v>13</v>
      </c>
      <c r="C160" s="0" t="n">
        <v>564</v>
      </c>
      <c r="D160" s="0" t="n">
        <f aca="false">C160-C159</f>
        <v>-3</v>
      </c>
    </row>
    <row r="161" customFormat="false" ht="15" hidden="false" customHeight="false" outlineLevel="0" collapsed="false">
      <c r="A161" s="0" t="s">
        <v>170</v>
      </c>
      <c r="B161" s="2" t="s">
        <v>15</v>
      </c>
      <c r="C161" s="0" t="n">
        <v>592</v>
      </c>
      <c r="D161" s="0" t="n">
        <f aca="false">C161-C160</f>
        <v>28</v>
      </c>
    </row>
    <row r="162" customFormat="false" ht="15" hidden="false" customHeight="false" outlineLevel="0" collapsed="false">
      <c r="A162" s="0" t="s">
        <v>171</v>
      </c>
      <c r="B162" s="2" t="s">
        <v>17</v>
      </c>
      <c r="C162" s="0" t="n">
        <v>598</v>
      </c>
      <c r="D162" s="0" t="n">
        <f aca="false">C162-C161</f>
        <v>6</v>
      </c>
    </row>
    <row r="163" customFormat="false" ht="15" hidden="false" customHeight="false" outlineLevel="0" collapsed="false">
      <c r="A163" s="0" t="s">
        <v>172</v>
      </c>
      <c r="B163" s="2" t="s">
        <v>5</v>
      </c>
      <c r="C163" s="0" t="n">
        <v>597</v>
      </c>
      <c r="D163" s="0" t="n">
        <f aca="false">C163-C162</f>
        <v>-1</v>
      </c>
    </row>
    <row r="164" customFormat="false" ht="15" hidden="false" customHeight="false" outlineLevel="0" collapsed="false">
      <c r="A164" s="0" t="s">
        <v>173</v>
      </c>
      <c r="B164" s="2" t="s">
        <v>7</v>
      </c>
      <c r="C164" s="0" t="n">
        <v>583</v>
      </c>
      <c r="D164" s="0" t="n">
        <f aca="false">C164-C163</f>
        <v>-14</v>
      </c>
    </row>
    <row r="165" customFormat="false" ht="15" hidden="false" customHeight="false" outlineLevel="0" collapsed="false">
      <c r="A165" s="0" t="s">
        <v>174</v>
      </c>
      <c r="B165" s="2" t="s">
        <v>9</v>
      </c>
      <c r="C165" s="0" t="n">
        <v>548</v>
      </c>
      <c r="D165" s="0" t="n">
        <f aca="false">C165-C164</f>
        <v>-35</v>
      </c>
    </row>
    <row r="166" customFormat="false" ht="15" hidden="false" customHeight="false" outlineLevel="0" collapsed="false">
      <c r="A166" s="0" t="s">
        <v>175</v>
      </c>
      <c r="B166" s="2" t="s">
        <v>11</v>
      </c>
      <c r="C166" s="0" t="n">
        <v>525</v>
      </c>
      <c r="D166" s="0" t="n">
        <f aca="false">C166-C165</f>
        <v>-23</v>
      </c>
    </row>
    <row r="167" customFormat="false" ht="15" hidden="false" customHeight="false" outlineLevel="0" collapsed="false">
      <c r="A167" s="0" t="s">
        <v>176</v>
      </c>
      <c r="B167" s="2" t="s">
        <v>13</v>
      </c>
      <c r="C167" s="0" t="n">
        <v>502</v>
      </c>
      <c r="D167" s="0" t="n">
        <f aca="false">C167-C166</f>
        <v>-23</v>
      </c>
    </row>
    <row r="168" customFormat="false" ht="15" hidden="false" customHeight="false" outlineLevel="0" collapsed="false">
      <c r="A168" s="0" t="s">
        <v>177</v>
      </c>
      <c r="B168" s="2" t="s">
        <v>15</v>
      </c>
      <c r="C168" s="0" t="n">
        <v>515</v>
      </c>
      <c r="D168" s="0" t="n">
        <f aca="false">C168-C167</f>
        <v>13</v>
      </c>
    </row>
    <row r="169" customFormat="false" ht="15" hidden="false" customHeight="false" outlineLevel="0" collapsed="false">
      <c r="A169" s="0" t="s">
        <v>178</v>
      </c>
      <c r="B169" s="2" t="s">
        <v>17</v>
      </c>
      <c r="C169" s="0" t="n">
        <v>522</v>
      </c>
      <c r="D169" s="0" t="n">
        <f aca="false">C169-C168</f>
        <v>7</v>
      </c>
    </row>
    <row r="170" customFormat="false" ht="15" hidden="false" customHeight="false" outlineLevel="0" collapsed="false">
      <c r="A170" s="0" t="s">
        <v>179</v>
      </c>
      <c r="B170" s="2" t="s">
        <v>5</v>
      </c>
      <c r="C170" s="0" t="n">
        <v>522</v>
      </c>
      <c r="D170" s="0" t="n">
        <f aca="false">C170-C169</f>
        <v>0</v>
      </c>
    </row>
    <row r="171" customFormat="false" ht="15" hidden="false" customHeight="false" outlineLevel="0" collapsed="false">
      <c r="A171" s="0" t="s">
        <v>180</v>
      </c>
      <c r="B171" s="2" t="s">
        <v>7</v>
      </c>
      <c r="C171" s="0" t="n">
        <v>519</v>
      </c>
      <c r="D171" s="0" t="n">
        <f aca="false">C171-C170</f>
        <v>-3</v>
      </c>
    </row>
    <row r="172" customFormat="false" ht="15" hidden="false" customHeight="false" outlineLevel="0" collapsed="false">
      <c r="A172" s="0" t="s">
        <v>181</v>
      </c>
      <c r="B172" s="2" t="s">
        <v>9</v>
      </c>
      <c r="C172" s="0" t="n">
        <v>510</v>
      </c>
      <c r="D172" s="0" t="n">
        <f aca="false">C172-C171</f>
        <v>-9</v>
      </c>
    </row>
    <row r="173" customFormat="false" ht="15" hidden="false" customHeight="false" outlineLevel="0" collapsed="false">
      <c r="A173" s="0" t="s">
        <v>182</v>
      </c>
      <c r="B173" s="2" t="s">
        <v>11</v>
      </c>
      <c r="C173" s="0" t="n">
        <v>508</v>
      </c>
      <c r="D173" s="0" t="n">
        <f aca="false">C173-C172</f>
        <v>-2</v>
      </c>
    </row>
    <row r="174" customFormat="false" ht="15" hidden="false" customHeight="false" outlineLevel="0" collapsed="false">
      <c r="A174" s="0" t="s">
        <v>183</v>
      </c>
      <c r="B174" s="2" t="s">
        <v>13</v>
      </c>
      <c r="C174" s="0" t="n">
        <v>486</v>
      </c>
      <c r="D174" s="0" t="n">
        <f aca="false">C174-C173</f>
        <v>-22</v>
      </c>
    </row>
    <row r="175" customFormat="false" ht="15" hidden="false" customHeight="false" outlineLevel="0" collapsed="false">
      <c r="A175" s="0" t="s">
        <v>184</v>
      </c>
      <c r="B175" s="2" t="s">
        <v>15</v>
      </c>
      <c r="C175" s="0" t="n">
        <v>501</v>
      </c>
      <c r="D175" s="0" t="n">
        <f aca="false">C175-C174</f>
        <v>15</v>
      </c>
    </row>
    <row r="176" customFormat="false" ht="15" hidden="false" customHeight="false" outlineLevel="0" collapsed="false">
      <c r="A176" s="0" t="s">
        <v>185</v>
      </c>
      <c r="B176" s="2" t="s">
        <v>17</v>
      </c>
      <c r="C176" s="0" t="n">
        <v>516</v>
      </c>
      <c r="D176" s="0" t="n">
        <f aca="false">C176-C175</f>
        <v>15</v>
      </c>
    </row>
    <row r="177" customFormat="false" ht="15" hidden="false" customHeight="false" outlineLevel="0" collapsed="false">
      <c r="A177" s="0" t="s">
        <v>186</v>
      </c>
      <c r="B177" s="2" t="s">
        <v>5</v>
      </c>
      <c r="C177" s="0" t="n">
        <v>522</v>
      </c>
      <c r="D177" s="0" t="n">
        <f aca="false">C177-C176</f>
        <v>6</v>
      </c>
    </row>
    <row r="178" customFormat="false" ht="15" hidden="false" customHeight="false" outlineLevel="0" collapsed="false">
      <c r="A178" s="0" t="s">
        <v>187</v>
      </c>
      <c r="B178" s="2" t="s">
        <v>7</v>
      </c>
      <c r="C178" s="0" t="n">
        <v>526</v>
      </c>
      <c r="D178" s="0" t="n">
        <f aca="false">C178-C177</f>
        <v>4</v>
      </c>
    </row>
    <row r="179" customFormat="false" ht="15" hidden="false" customHeight="false" outlineLevel="0" collapsed="false">
      <c r="A179" s="0" t="s">
        <v>188</v>
      </c>
      <c r="B179" s="2" t="s">
        <v>9</v>
      </c>
      <c r="C179" s="0" t="n">
        <v>512</v>
      </c>
      <c r="D179" s="0" t="n">
        <f aca="false">C179-C178</f>
        <v>-14</v>
      </c>
    </row>
    <row r="180" customFormat="false" ht="15" hidden="false" customHeight="false" outlineLevel="0" collapsed="false">
      <c r="A180" s="0" t="s">
        <v>189</v>
      </c>
      <c r="B180" s="2" t="s">
        <v>11</v>
      </c>
      <c r="C180" s="0" t="n">
        <v>491</v>
      </c>
      <c r="D180" s="0" t="n">
        <f aca="false">C180-C179</f>
        <v>-21</v>
      </c>
    </row>
    <row r="181" customFormat="false" ht="15" hidden="false" customHeight="false" outlineLevel="0" collapsed="false">
      <c r="A181" s="0" t="s">
        <v>190</v>
      </c>
      <c r="B181" s="2" t="s">
        <v>13</v>
      </c>
      <c r="C181" s="0" t="n">
        <v>467</v>
      </c>
      <c r="D181" s="0" t="n">
        <f aca="false">C181-C180</f>
        <v>-24</v>
      </c>
    </row>
    <row r="182" customFormat="false" ht="15" hidden="false" customHeight="false" outlineLevel="0" collapsed="false">
      <c r="A182" s="0" t="s">
        <v>191</v>
      </c>
      <c r="B182" s="2" t="s">
        <v>15</v>
      </c>
      <c r="C182" s="0" t="n">
        <v>401</v>
      </c>
      <c r="D182" s="0" t="n">
        <f aca="false">C182-C181</f>
        <v>-66</v>
      </c>
    </row>
    <row r="183" customFormat="false" ht="15" hidden="false" customHeight="false" outlineLevel="0" collapsed="false">
      <c r="A183" s="0" t="s">
        <v>192</v>
      </c>
      <c r="B183" s="2" t="s">
        <v>17</v>
      </c>
      <c r="C183" s="0" t="n">
        <v>409</v>
      </c>
      <c r="D183" s="0" t="n">
        <f aca="false">C183-C182</f>
        <v>8</v>
      </c>
    </row>
    <row r="184" customFormat="false" ht="15" hidden="false" customHeight="false" outlineLevel="0" collapsed="false">
      <c r="A184" s="0" t="s">
        <v>193</v>
      </c>
      <c r="B184" s="2" t="s">
        <v>5</v>
      </c>
      <c r="C184" s="0" t="n">
        <v>431</v>
      </c>
      <c r="D184" s="0" t="n">
        <f aca="false">C184-C183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6" min="4" style="0" width="10"/>
  </cols>
  <sheetData>
    <row r="1" customFormat="false" ht="15" hidden="false" customHeight="false" outlineLevel="0" collapsed="false">
      <c r="A1" s="1" t="s">
        <v>17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</row>
    <row r="2" customFormat="false" ht="15" hidden="false" customHeight="false" outlineLevel="0" collapsed="false">
      <c r="A2" s="0" t="s">
        <v>199</v>
      </c>
      <c r="B2" s="0" t="n">
        <v>10</v>
      </c>
      <c r="C2" s="0" t="n">
        <f aca="false">AVERAGE(日別データ!C2:C11)</f>
        <v>317.1</v>
      </c>
      <c r="D2" s="0" t="n">
        <f aca="false">MIN(日別データ!C2:C11)</f>
        <v>170</v>
      </c>
      <c r="E2" s="0" t="n">
        <f aca="false">MAX(日別データ!C2:C11)</f>
        <v>464</v>
      </c>
      <c r="F2" s="0" t="n">
        <f aca="false">MEDIAN(日別データ!C2:C11)</f>
        <v>305.5</v>
      </c>
    </row>
    <row r="3" customFormat="false" ht="15" hidden="false" customHeight="false" outlineLevel="0" collapsed="false">
      <c r="A3" s="0" t="s">
        <v>200</v>
      </c>
      <c r="B3" s="0" t="n">
        <v>31</v>
      </c>
      <c r="C3" s="0" t="n">
        <f aca="false">AVERAGE(日別データ!C12:C42)</f>
        <v>291.903225806452</v>
      </c>
      <c r="D3" s="0" t="n">
        <f aca="false">MIN(日別データ!C12:C42)</f>
        <v>155</v>
      </c>
      <c r="E3" s="0" t="n">
        <f aca="false">MAX(日別データ!C12:C42)</f>
        <v>459</v>
      </c>
      <c r="F3" s="0" t="n">
        <f aca="false">MEDIAN(日別データ!C12:C42)</f>
        <v>286</v>
      </c>
    </row>
    <row r="4" customFormat="false" ht="15" hidden="false" customHeight="false" outlineLevel="0" collapsed="false">
      <c r="A4" s="0" t="s">
        <v>201</v>
      </c>
      <c r="B4" s="0" t="n">
        <v>30</v>
      </c>
      <c r="C4" s="0" t="n">
        <f aca="false">AVERAGE(日別データ!C43:C72)</f>
        <v>458.433333333333</v>
      </c>
      <c r="D4" s="0" t="n">
        <f aca="false">MIN(日別データ!C43:C72)</f>
        <v>361</v>
      </c>
      <c r="E4" s="0" t="n">
        <f aca="false">MAX(日別データ!C43:C72)</f>
        <v>509</v>
      </c>
      <c r="F4" s="0" t="n">
        <f aca="false">MEDIAN(日別データ!C43:C72)</f>
        <v>475.5</v>
      </c>
    </row>
    <row r="5" customFormat="false" ht="15" hidden="false" customHeight="false" outlineLevel="0" collapsed="false">
      <c r="A5" s="0" t="s">
        <v>202</v>
      </c>
      <c r="B5" s="0" t="n">
        <v>31</v>
      </c>
      <c r="C5" s="0" t="n">
        <f aca="false">AVERAGE(日別データ!C73:C103)</f>
        <v>492.903225806452</v>
      </c>
      <c r="D5" s="0" t="n">
        <f aca="false">MIN(日別データ!C73:C103)</f>
        <v>429</v>
      </c>
      <c r="E5" s="0" t="n">
        <f aca="false">MAX(日別データ!C73:C103)</f>
        <v>545</v>
      </c>
      <c r="F5" s="0" t="n">
        <f aca="false">MEDIAN(日別データ!C73:C103)</f>
        <v>501</v>
      </c>
    </row>
    <row r="6" customFormat="false" ht="15" hidden="false" customHeight="false" outlineLevel="0" collapsed="false">
      <c r="A6" s="0" t="s">
        <v>203</v>
      </c>
      <c r="B6" s="0" t="n">
        <v>31</v>
      </c>
      <c r="C6" s="0" t="n">
        <f aca="false">AVERAGE(日別データ!C104:C134)</f>
        <v>585.677419354839</v>
      </c>
      <c r="D6" s="0" t="n">
        <f aca="false">MIN(日別データ!C104:C134)</f>
        <v>504</v>
      </c>
      <c r="E6" s="0" t="n">
        <f aca="false">MAX(日別データ!C104:C134)</f>
        <v>646</v>
      </c>
      <c r="F6" s="0" t="n">
        <f aca="false">MEDIAN(日別データ!C104:C134)</f>
        <v>591</v>
      </c>
    </row>
    <row r="7" customFormat="false" ht="15" hidden="false" customHeight="false" outlineLevel="0" collapsed="false">
      <c r="A7" s="0" t="s">
        <v>204</v>
      </c>
      <c r="B7" s="0" t="n">
        <v>30</v>
      </c>
      <c r="C7" s="0" t="n">
        <f aca="false">AVERAGE(日別データ!C135:C164)</f>
        <v>594.333333333333</v>
      </c>
      <c r="D7" s="0" t="n">
        <f aca="false">MIN(日別データ!C135:C164)</f>
        <v>534</v>
      </c>
      <c r="E7" s="0" t="n">
        <f aca="false">MAX(日別データ!C135:C164)</f>
        <v>627</v>
      </c>
      <c r="F7" s="0" t="n">
        <f aca="false">MEDIAN(日別データ!C135:C164)</f>
        <v>597.5</v>
      </c>
    </row>
    <row r="8" customFormat="false" ht="15" hidden="false" customHeight="false" outlineLevel="0" collapsed="false">
      <c r="A8" s="0" t="s">
        <v>205</v>
      </c>
      <c r="B8" s="0" t="n">
        <v>20</v>
      </c>
      <c r="C8" s="0" t="n">
        <f aca="false">AVERAGE(日別データ!C165:C184)</f>
        <v>496.65</v>
      </c>
      <c r="D8" s="0" t="n">
        <f aca="false">MIN(日別データ!C165:C184)</f>
        <v>401</v>
      </c>
      <c r="E8" s="0" t="n">
        <f aca="false">MAX(日別データ!C165:C184)</f>
        <v>548</v>
      </c>
      <c r="F8" s="0" t="n">
        <f aca="false">MEDIAN(日別データ!C165:C184)</f>
        <v>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3" t="s">
        <v>206</v>
      </c>
      <c r="B1" s="3" t="s">
        <v>207</v>
      </c>
    </row>
    <row r="2" customFormat="false" ht="15" hidden="false" customHeight="false" outlineLevel="0" collapsed="false">
      <c r="A2" s="2" t="s">
        <v>208</v>
      </c>
      <c r="B2" s="0" t="s">
        <v>209</v>
      </c>
    </row>
    <row r="3" customFormat="false" ht="15" hidden="false" customHeight="false" outlineLevel="0" collapsed="false">
      <c r="A3" s="2" t="s">
        <v>194</v>
      </c>
      <c r="B3" s="0" t="n">
        <v>183</v>
      </c>
    </row>
    <row r="4" customFormat="false" ht="15" hidden="false" customHeight="false" outlineLevel="0" collapsed="false">
      <c r="A4" s="2" t="s">
        <v>210</v>
      </c>
      <c r="B4" s="0" t="n">
        <f aca="false">MIN(日別データ!C2:C184)</f>
        <v>155</v>
      </c>
    </row>
    <row r="5" customFormat="false" ht="15" hidden="false" customHeight="false" outlineLevel="0" collapsed="false">
      <c r="A5" s="2" t="s">
        <v>211</v>
      </c>
      <c r="B5" s="0" t="n">
        <f aca="false">MAX(日別データ!C2:C184)</f>
        <v>646</v>
      </c>
    </row>
    <row r="6" customFormat="false" ht="15" hidden="false" customHeight="false" outlineLevel="0" collapsed="false">
      <c r="A6" s="2" t="s">
        <v>195</v>
      </c>
      <c r="B6" s="0" t="n">
        <f aca="false">AVERAGE(日別データ!C2:C184)</f>
        <v>476.349726775956</v>
      </c>
    </row>
    <row r="7" customFormat="false" ht="15" hidden="false" customHeight="false" outlineLevel="0" collapsed="false">
      <c r="A7" s="2" t="s">
        <v>198</v>
      </c>
      <c r="B7" s="0" t="n">
        <f aca="false">MEDIAN(日別データ!C2:C184)</f>
        <v>501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2026-04-21T11:14:46Z</dcterms:created>
  <dc:creator>openpyxl</dc:creator>
  <dc:description/>
  <dc:language>en-US</dc:language>
  <cp:lastModifiedBy/>
  <dcterms:modified xsi:type="dcterms:W3CDTF">2026-04-21T20:14:49Z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