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<sst xmlns="http://schemas.openxmlformats.org/spreadsheetml/2006/main" count="212" uniqueCount="212">
  <si>
    <t xml:space="preserve">日付</t>
  </si>
  <si>
    <t xml:space="preserve">件数</t>
  </si>
  <si>
    <t xml:space="preserve">件数以上フラグ</t>
  </si>
  <si>
    <r>
      <rPr>
        <b val="true"/>
        <sz val="11"/>
        <rFont val="Arial"/>
        <family val="0"/>
        <charset val="1"/>
      </rPr>
      <t xml:space="preserve">today </t>
    </r>
    <r>
      <rPr>
        <b val="true"/>
        <sz val="11"/>
        <rFont val="Noto Sans CJK SC"/>
        <family val="2"/>
      </rPr>
      <t xml:space="preserve">からの経過日数</t>
    </r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</si>
  <si>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</si>
  <si>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</si>
  <si>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</si>
  <si>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</si>
  <si>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</si>
  <si>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</si>
  <si>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</si>
  <si>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</si>
  <si>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</si>
  <si>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</si>
  <si>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</si>
  <si>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</si>
  <si>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</si>
  <si>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</si>
  <si>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</si>
  <si>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</si>
  <si>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</si>
  <si>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</si>
  <si>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</si>
  <si>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</si>
  <si>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</si>
  <si>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</si>
  <si>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</si>
  <si>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</si>
  <si>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</si>
  <si>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</si>
  <si>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</si>
  <si>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</si>
  <si>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</si>
  <si>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</si>
  <si>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</si>
  <si>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</si>
  <si>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</si>
  <si>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</si>
  <si>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</si>
  <si>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</si>
  <si>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</si>
  <si>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</si>
  <si>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</si>
  <si>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</si>
  <si>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</si>
  <si>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</si>
  <si>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</si>
  <si>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</si>
  <si>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</si>
  <si>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</si>
  <si>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</si>
  <si>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</si>
  <si>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</si>
  <si>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</si>
  <si>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</si>
  <si>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</si>
  <si>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</si>
  <si>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</si>
  <si>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</si>
  <si>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</si>
  <si>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</si>
  <si>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</si>
  <si>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</si>
  <si>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</si>
  <si>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</si>
  <si>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</si>
  <si>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</si>
  <si>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</si>
  <si>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</si>
  <si>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</si>
  <si>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</si>
  <si>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</si>
  <si>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</si>
  <si>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</si>
  <si>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</si>
  <si>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</si>
  <si>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</si>
  <si>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</si>
  <si>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</si>
  <si>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</si>
  <si>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</si>
  <si>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</si>
  <si>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</si>
  <si>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</si>
  <si>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</si>
  <si>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</si>
  <si>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</si>
  <si>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</si>
  <si>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</si>
  <si>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</si>
  <si>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</si>
  <si>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</si>
  <si>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</si>
  <si>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</si>
  <si>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</si>
  <si>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</si>
  <si>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</si>
  <si>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</si>
  <si>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</si>
  <si>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</si>
  <si>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</si>
  <si>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</si>
  <si>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</si>
  <si>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</si>
  <si>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</si>
  <si>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</si>
  <si>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</si>
  <si>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</si>
  <si>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</si>
  <si>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</si>
  <si>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</si>
  <si>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</si>
  <si>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</si>
  <si>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</si>
  <si>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</si>
  <si>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</si>
  <si>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</si>
  <si>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</si>
  <si>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</si>
  <si>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</si>
  <si>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</si>
  <si>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</si>
  <si>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</si>
  <si>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</si>
  <si>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</si>
  <si>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</si>
  <si>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</si>
  <si>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</si>
  <si>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</si>
  <si>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</si>
  <si>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</si>
  <si>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</si>
  <si>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</si>
  <si>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</si>
  <si>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</si>
  <si>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</si>
  <si>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</si>
  <si>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</si>
  <si>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</si>
  <si>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</si>
  <si>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</si>
  <si>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</si>
  <si>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</si>
  <si>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</si>
  <si>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</si>
  <si>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</si>
  <si>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</si>
  <si>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</si>
  <si>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</si>
  <si>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</si>
  <si>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</si>
  <si>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</si>
  <si>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</si>
  <si>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</si>
  <si>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</si>
  <si>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</si>
  <si>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</si>
  <si>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</si>
  <si>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</si>
  <si>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</si>
  <si>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</si>
  <si>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</si>
  <si>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</si>
  <si>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</si>
  <si>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</si>
  <si>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</si>
  <si>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</si>
  <si>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</si>
  <si>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</si>
  <si>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</si>
  <si>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</si>
  <si>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</si>
  <si>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</si>
  <si>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</si>
  <si>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</si>
  <si>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</si>
  <si>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</si>
  <si>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</si>
  <si>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</si>
  <si>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</si>
  <si>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</si>
  <si>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t xml:space="preserve">2027-03-19</t>
  </si>
  <si>
    <t xml:space="preserve">2027-03-20</t>
  </si>
  <si>
    <t xml:space="preserve">2027-03-21</t>
  </si>
  <si>
    <t xml:space="preserve">2027-03-22</t>
  </si>
  <si>
    <t xml:space="preserve">2027-03-23</t>
  </si>
  <si>
    <t xml:space="preserve">2027-03-24</t>
  </si>
  <si>
    <t xml:space="preserve">2027-03-25</t>
  </si>
  <si>
    <t xml:space="preserve">アピチェ大森 競合市場在庫数サマリー</t>
  </si>
  <si>
    <r>
      <rPr>
        <sz val="11"/>
        <rFont val="Noto Sans CJK SC"/>
        <family val="2"/>
      </rPr>
      <t xml:space="preserve">基準日</t>
    </r>
    <r>
      <rPr>
        <sz val="11"/>
        <rFont val="Arial"/>
        <family val="0"/>
        <charset val="1"/>
      </rPr>
      <t xml:space="preserve">: 2026-09-23</t>
    </r>
  </si>
  <si>
    <t xml:space="preserve">指標</t>
  </si>
  <si>
    <t xml:space="preserve">値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</si>
  <si>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</si>
  <si>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</si>
  <si>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</si>
  <si>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</si>
  <si>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</si>
  <si>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</si>
  <si>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</si>
  <si>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</si>
  <si>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</si>
  <si>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</si>
  <si>
    <t xml:space="preserve">月別平均</t>
  </si>
  <si>
    <t xml:space="preserve">年月</t>
  </si>
  <si>
    <t xml:space="preserve">平均件数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</si>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</sst>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競合市場在庫数の推移（今日〜+183日）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2026-09-23</c:v>
                </c:pt>
                <c:pt idx="1">
                  <c:v>2026-09-24</c:v>
                </c:pt>
                <c:pt idx="2">
                  <c:v>2026-09-25</c:v>
                </c:pt>
                <c:pt idx="3">
                  <c:v>2026-09-26</c:v>
                </c:pt>
                <c:pt idx="4">
                  <c:v>2026-09-27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2026-09-30</c:v>
                </c:pt>
                <c:pt idx="8">
                  <c:v>2026-10-01</c:v>
                </c:pt>
                <c:pt idx="9">
                  <c:v>2026-10-02</c:v>
                </c:pt>
                <c:pt idx="10">
                  <c:v>2026-10-03</c:v>
                </c:pt>
                <c:pt idx="11">
                  <c:v>2026-10-04</c:v>
                </c:pt>
                <c:pt idx="12">
                  <c:v>2026-10-05</c:v>
                </c:pt>
                <c:pt idx="13">
                  <c:v>2026-10-06</c:v>
                </c:pt>
                <c:pt idx="14">
                  <c:v>2026-10-07</c:v>
                </c:pt>
                <c:pt idx="15">
                  <c:v>2026-10-08</c:v>
                </c:pt>
                <c:pt idx="16">
                  <c:v>2026-10-09</c:v>
                </c:pt>
                <c:pt idx="17">
                  <c:v>2026-10-10</c:v>
                </c:pt>
                <c:pt idx="18">
                  <c:v>2026-10-11</c:v>
                </c:pt>
                <c:pt idx="19">
                  <c:v>2026-10-12</c:v>
                </c:pt>
                <c:pt idx="20">
                  <c:v>2026-10-13</c:v>
                </c:pt>
                <c:pt idx="21">
                  <c:v>2026-10-14</c:v>
                </c:pt>
                <c:pt idx="22">
                  <c:v>2026-10-15</c:v>
                </c:pt>
                <c:pt idx="23">
                  <c:v>2026-10-16</c:v>
                </c:pt>
                <c:pt idx="24">
                  <c:v>2026-10-17</c:v>
                </c:pt>
                <c:pt idx="25">
                  <c:v>2026-10-18</c:v>
                </c:pt>
                <c:pt idx="26">
                  <c:v>2026-10-19</c:v>
                </c:pt>
                <c:pt idx="27">
                  <c:v>2026-10-20</c:v>
                </c:pt>
                <c:pt idx="28">
                  <c:v>2026-10-21</c:v>
                </c:pt>
                <c:pt idx="29">
                  <c:v>2026-10-22</c:v>
                </c:pt>
                <c:pt idx="30">
                  <c:v>2026-10-23</c:v>
                </c:pt>
                <c:pt idx="31">
                  <c:v>2026-10-24</c:v>
                </c:pt>
                <c:pt idx="32">
                  <c:v>2026-10-25</c:v>
                </c:pt>
                <c:pt idx="33">
                  <c:v>2026-10-26</c:v>
                </c:pt>
                <c:pt idx="34">
                  <c:v>2026-10-27</c:v>
                </c:pt>
                <c:pt idx="35">
                  <c:v>2026-10-28</c:v>
                </c:pt>
                <c:pt idx="36">
                  <c:v>2026-10-29</c:v>
                </c:pt>
                <c:pt idx="37">
                  <c:v>2026-10-30</c:v>
                </c:pt>
                <c:pt idx="38">
                  <c:v>2026-10-31</c:v>
                </c:pt>
                <c:pt idx="39">
                  <c:v>2026-11-01</c:v>
                </c:pt>
                <c:pt idx="40">
                  <c:v>2026-11-02</c:v>
                </c:pt>
                <c:pt idx="41">
                  <c:v>2026-11-03</c:v>
                </c:pt>
                <c:pt idx="42">
                  <c:v>2026-11-04</c:v>
                </c:pt>
                <c:pt idx="43">
                  <c:v>2026-11-05</c:v>
                </c:pt>
                <c:pt idx="44">
                  <c:v>2026-11-06</c:v>
                </c:pt>
                <c:pt idx="45">
                  <c:v>2026-11-07</c:v>
                </c:pt>
                <c:pt idx="46">
                  <c:v>2026-11-08</c:v>
                </c:pt>
                <c:pt idx="47">
                  <c:v>2026-11-09</c:v>
                </c:pt>
                <c:pt idx="48">
                  <c:v>2026-11-10</c:v>
                </c:pt>
                <c:pt idx="49">
                  <c:v>2026-11-11</c:v>
                </c:pt>
                <c:pt idx="50">
                  <c:v>2026-11-12</c:v>
                </c:pt>
                <c:pt idx="51">
                  <c:v>2026-11-13</c:v>
                </c:pt>
                <c:pt idx="52">
                  <c:v>2026-11-14</c:v>
                </c:pt>
                <c:pt idx="53">
                  <c:v>2026-11-15</c:v>
                </c:pt>
                <c:pt idx="54">
                  <c:v>2026-11-16</c:v>
                </c:pt>
                <c:pt idx="55">
                  <c:v>2026-11-17</c:v>
                </c:pt>
                <c:pt idx="56">
                  <c:v>2026-11-18</c:v>
                </c:pt>
                <c:pt idx="57">
                  <c:v>2026-11-19</c:v>
                </c:pt>
                <c:pt idx="58">
                  <c:v>2026-11-20</c:v>
                </c:pt>
                <c:pt idx="59">
                  <c:v>2026-11-21</c:v>
                </c:pt>
                <c:pt idx="60">
                  <c:v>2026-11-22</c:v>
                </c:pt>
                <c:pt idx="61">
                  <c:v>2026-11-23</c:v>
                </c:pt>
                <c:pt idx="62">
                  <c:v>2026-11-24</c:v>
                </c:pt>
                <c:pt idx="63">
                  <c:v>2026-11-25</c:v>
                </c:pt>
                <c:pt idx="64">
                  <c:v>2026-11-26</c:v>
                </c:pt>
                <c:pt idx="65">
                  <c:v>2026-11-27</c:v>
                </c:pt>
                <c:pt idx="66">
                  <c:v>2026-11-28</c:v>
                </c:pt>
                <c:pt idx="67">
                  <c:v>2026-11-29</c:v>
                </c:pt>
                <c:pt idx="68">
                  <c:v>2026-11-30</c:v>
                </c:pt>
                <c:pt idx="69">
                  <c:v>2026-12-01</c:v>
                </c:pt>
                <c:pt idx="70">
                  <c:v>2026-12-02</c:v>
                </c:pt>
                <c:pt idx="71">
                  <c:v>2026-12-03</c:v>
                </c:pt>
                <c:pt idx="72">
                  <c:v>2026-12-04</c:v>
                </c:pt>
                <c:pt idx="73">
                  <c:v>2026-12-05</c:v>
                </c:pt>
                <c:pt idx="74">
                  <c:v>2026-12-06</c:v>
                </c:pt>
                <c:pt idx="75">
                  <c:v>2026-12-07</c:v>
                </c:pt>
                <c:pt idx="76">
                  <c:v>2026-12-08</c:v>
                </c:pt>
                <c:pt idx="77">
                  <c:v>2026-12-09</c:v>
                </c:pt>
                <c:pt idx="78">
                  <c:v>2026-12-10</c:v>
                </c:pt>
                <c:pt idx="79">
                  <c:v>2026-12-11</c:v>
                </c:pt>
                <c:pt idx="80">
                  <c:v>2026-12-12</c:v>
                </c:pt>
                <c:pt idx="81">
                  <c:v>2026-12-13</c:v>
                </c:pt>
                <c:pt idx="82">
                  <c:v>2026-12-14</c:v>
                </c:pt>
                <c:pt idx="83">
                  <c:v>2026-12-15</c:v>
                </c:pt>
                <c:pt idx="84">
                  <c:v>2026-12-16</c:v>
                </c:pt>
                <c:pt idx="85">
                  <c:v>2026-12-17</c:v>
                </c:pt>
                <c:pt idx="86">
                  <c:v>2026-12-18</c:v>
                </c:pt>
                <c:pt idx="87">
                  <c:v>2026-12-19</c:v>
                </c:pt>
                <c:pt idx="88">
                  <c:v>2026-12-20</c:v>
                </c:pt>
                <c:pt idx="89">
                  <c:v>2026-12-21</c:v>
                </c:pt>
                <c:pt idx="90">
                  <c:v>2026-12-22</c:v>
                </c:pt>
                <c:pt idx="91">
                  <c:v>2026-12-23</c:v>
                </c:pt>
                <c:pt idx="92">
                  <c:v>2026-12-24</c:v>
                </c:pt>
                <c:pt idx="93">
                  <c:v>2026-12-25</c:v>
                </c:pt>
                <c:pt idx="94">
                  <c:v>2026-12-26</c:v>
                </c:pt>
                <c:pt idx="95">
                  <c:v>2026-12-27</c:v>
                </c:pt>
                <c:pt idx="96">
                  <c:v>2026-12-28</c:v>
                </c:pt>
                <c:pt idx="97">
                  <c:v>2026-12-29</c:v>
                </c:pt>
                <c:pt idx="98">
                  <c:v>2026-12-30</c:v>
                </c:pt>
                <c:pt idx="99">
                  <c:v>2026-12-31</c:v>
                </c:pt>
                <c:pt idx="100">
                  <c:v>2027-01-01</c:v>
                </c:pt>
                <c:pt idx="101">
                  <c:v>2027-01-02</c:v>
                </c:pt>
                <c:pt idx="102">
                  <c:v>2027-01-03</c:v>
                </c:pt>
                <c:pt idx="103">
                  <c:v>2027-01-04</c:v>
                </c:pt>
                <c:pt idx="104">
                  <c:v>2027-01-05</c:v>
                </c:pt>
                <c:pt idx="105">
                  <c:v>2027-01-06</c:v>
                </c:pt>
                <c:pt idx="106">
                  <c:v>2027-01-07</c:v>
                </c:pt>
                <c:pt idx="107">
                  <c:v>2027-01-08</c:v>
                </c:pt>
                <c:pt idx="108">
                  <c:v>2027-01-09</c:v>
                </c:pt>
                <c:pt idx="109">
                  <c:v>2027-01-10</c:v>
                </c:pt>
                <c:pt idx="110">
                  <c:v>2027-01-11</c:v>
                </c:pt>
                <c:pt idx="111">
                  <c:v>2027-01-12</c:v>
                </c:pt>
                <c:pt idx="112">
                  <c:v>2027-01-13</c:v>
                </c:pt>
                <c:pt idx="113">
                  <c:v>2027-01-14</c:v>
                </c:pt>
                <c:pt idx="114">
                  <c:v>2027-01-15</c:v>
                </c:pt>
                <c:pt idx="115">
                  <c:v>2027-01-16</c:v>
                </c:pt>
                <c:pt idx="116">
                  <c:v>2027-01-17</c:v>
                </c:pt>
                <c:pt idx="117">
                  <c:v>2027-01-18</c:v>
                </c:pt>
                <c:pt idx="118">
                  <c:v>2027-01-19</c:v>
                </c:pt>
                <c:pt idx="119">
                  <c:v>2027-01-20</c:v>
                </c:pt>
                <c:pt idx="120">
                  <c:v>2027-01-21</c:v>
                </c:pt>
                <c:pt idx="121">
                  <c:v>2027-01-22</c:v>
                </c:pt>
                <c:pt idx="122">
                  <c:v>2027-01-23</c:v>
                </c:pt>
                <c:pt idx="123">
                  <c:v>2027-01-24</c:v>
                </c:pt>
                <c:pt idx="124">
                  <c:v>2027-01-25</c:v>
                </c:pt>
                <c:pt idx="125">
                  <c:v>2027-01-26</c:v>
                </c:pt>
                <c:pt idx="126">
                  <c:v>2027-01-27</c:v>
                </c:pt>
                <c:pt idx="127">
                  <c:v>2027-01-28</c:v>
                </c:pt>
                <c:pt idx="128">
                  <c:v>2027-01-29</c:v>
                </c:pt>
                <c:pt idx="129">
                  <c:v>2027-01-30</c:v>
                </c:pt>
                <c:pt idx="130">
                  <c:v>2027-01-31</c:v>
                </c:pt>
                <c:pt idx="131">
                  <c:v>2027-02-01</c:v>
                </c:pt>
                <c:pt idx="132">
                  <c:v>2027-02-02</c:v>
                </c:pt>
                <c:pt idx="133">
                  <c:v>2027-02-03</c:v>
                </c:pt>
                <c:pt idx="134">
                  <c:v>2027-02-04</c:v>
                </c:pt>
                <c:pt idx="135">
                  <c:v>2027-02-05</c:v>
                </c:pt>
                <c:pt idx="136">
                  <c:v>2027-02-06</c:v>
                </c:pt>
                <c:pt idx="137">
                  <c:v>2027-02-07</c:v>
                </c:pt>
                <c:pt idx="138">
                  <c:v>2027-02-08</c:v>
                </c:pt>
                <c:pt idx="139">
                  <c:v>2027-02-09</c:v>
                </c:pt>
                <c:pt idx="140">
                  <c:v>2027-02-10</c:v>
                </c:pt>
                <c:pt idx="141">
                  <c:v>2027-02-11</c:v>
                </c:pt>
                <c:pt idx="142">
                  <c:v>2027-02-12</c:v>
                </c:pt>
                <c:pt idx="143">
                  <c:v>2027-02-13</c:v>
                </c:pt>
                <c:pt idx="144">
                  <c:v>2027-02-14</c:v>
                </c:pt>
                <c:pt idx="145">
                  <c:v>2027-02-15</c:v>
                </c:pt>
                <c:pt idx="146">
                  <c:v>2027-02-16</c:v>
                </c:pt>
                <c:pt idx="147">
                  <c:v>2027-02-17</c:v>
                </c:pt>
                <c:pt idx="148">
                  <c:v>2027-02-18</c:v>
                </c:pt>
                <c:pt idx="149">
                  <c:v>2027-02-19</c:v>
                </c:pt>
                <c:pt idx="150">
                  <c:v>2027-02-20</c:v>
                </c:pt>
                <c:pt idx="151">
                  <c:v>2027-02-21</c:v>
                </c:pt>
                <c:pt idx="152">
                  <c:v>2027-02-22</c:v>
                </c:pt>
                <c:pt idx="153">
                  <c:v>2027-02-23</c:v>
                </c:pt>
                <c:pt idx="154">
                  <c:v>2027-02-24</c:v>
                </c:pt>
                <c:pt idx="155">
                  <c:v>2027-02-25</c:v>
                </c:pt>
                <c:pt idx="156">
                  <c:v>2027-02-26</c:v>
                </c:pt>
                <c:pt idx="157">
                  <c:v>2027-02-27</c:v>
                </c:pt>
                <c:pt idx="158">
                  <c:v>2027-02-28</c:v>
                </c:pt>
                <c:pt idx="159">
                  <c:v>2027-03-01</c:v>
                </c:pt>
                <c:pt idx="160">
                  <c:v>2027-03-02</c:v>
                </c:pt>
                <c:pt idx="161">
                  <c:v>2027-03-03</c:v>
                </c:pt>
                <c:pt idx="162">
                  <c:v>2027-03-04</c:v>
                </c:pt>
                <c:pt idx="163">
                  <c:v>2027-03-05</c:v>
                </c:pt>
                <c:pt idx="164">
                  <c:v>2027-03-06</c:v>
                </c:pt>
                <c:pt idx="165">
                  <c:v>2027-03-07</c:v>
                </c:pt>
                <c:pt idx="166">
                  <c:v>2027-03-08</c:v>
                </c:pt>
                <c:pt idx="167">
                  <c:v>2027-03-09</c:v>
                </c:pt>
                <c:pt idx="168">
                  <c:v>2027-03-10</c:v>
                </c:pt>
                <c:pt idx="169">
                  <c:v>2027-03-11</c:v>
                </c:pt>
                <c:pt idx="170">
                  <c:v>2027-03-12</c:v>
                </c:pt>
                <c:pt idx="171">
                  <c:v>2027-03-13</c:v>
                </c:pt>
                <c:pt idx="172">
                  <c:v>2027-03-14</c:v>
                </c:pt>
                <c:pt idx="173">
                  <c:v>2027-03-15</c:v>
                </c:pt>
                <c:pt idx="174">
                  <c:v>2027-03-16</c:v>
                </c:pt>
                <c:pt idx="175">
                  <c:v>2027-03-17</c:v>
                </c:pt>
                <c:pt idx="176">
                  <c:v>2027-03-18</c:v>
                </c:pt>
                <c:pt idx="177">
                  <c:v>2027-03-19</c:v>
                </c:pt>
                <c:pt idx="178">
                  <c:v>2027-03-20</c:v>
                </c:pt>
                <c:pt idx="179">
                  <c:v>2027-03-21</c:v>
                </c:pt>
                <c:pt idx="180">
                  <c:v>2027-03-22</c:v>
                </c:pt>
                <c:pt idx="181">
                  <c:v>2027-03-23</c:v>
                </c:pt>
                <c:pt idx="182">
                  <c:v>2027-03-24</c:v>
                </c:pt>
                <c:pt idx="183">
                  <c:v>2027-03-25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335</c:v>
                </c:pt>
                <c:pt idx="1">
                  <c:v>383</c:v>
                </c:pt>
                <c:pt idx="2">
                  <c:v>369</c:v>
                </c:pt>
                <c:pt idx="3">
                  <c:v>336</c:v>
                </c:pt>
                <c:pt idx="4">
                  <c:v>461</c:v>
                </c:pt>
                <c:pt idx="5">
                  <c:v>476</c:v>
                </c:pt>
                <c:pt idx="6">
                  <c:v>448</c:v>
                </c:pt>
                <c:pt idx="7">
                  <c:v>379</c:v>
                </c:pt>
                <c:pt idx="8">
                  <c:v>271</c:v>
                </c:pt>
                <c:pt idx="9">
                  <c:v>198</c:v>
                </c:pt>
                <c:pt idx="10">
                  <c:v>116</c:v>
                </c:pt>
                <c:pt idx="11">
                  <c:v>208</c:v>
                </c:pt>
                <c:pt idx="12">
                  <c:v>226</c:v>
                </c:pt>
                <c:pt idx="13">
                  <c:v>267</c:v>
                </c:pt>
                <c:pt idx="14">
                  <c:v>281</c:v>
                </c:pt>
                <c:pt idx="15">
                  <c:v>239</c:v>
                </c:pt>
                <c:pt idx="16">
                  <c:v>208</c:v>
                </c:pt>
                <c:pt idx="17">
                  <c:v>100</c:v>
                </c:pt>
                <c:pt idx="18">
                  <c:v>145</c:v>
                </c:pt>
                <c:pt idx="19">
                  <c:v>259</c:v>
                </c:pt>
                <c:pt idx="20">
                  <c:v>275</c:v>
                </c:pt>
                <c:pt idx="21">
                  <c:v>292</c:v>
                </c:pt>
                <c:pt idx="22">
                  <c:v>221</c:v>
                </c:pt>
                <c:pt idx="23">
                  <c:v>209</c:v>
                </c:pt>
                <c:pt idx="24">
                  <c:v>179</c:v>
                </c:pt>
                <c:pt idx="25">
                  <c:v>261</c:v>
                </c:pt>
                <c:pt idx="26">
                  <c:v>260</c:v>
                </c:pt>
                <c:pt idx="27">
                  <c:v>294</c:v>
                </c:pt>
                <c:pt idx="28">
                  <c:v>284</c:v>
                </c:pt>
                <c:pt idx="29">
                  <c:v>252</c:v>
                </c:pt>
                <c:pt idx="30">
                  <c:v>240</c:v>
                </c:pt>
                <c:pt idx="31">
                  <c:v>183</c:v>
                </c:pt>
                <c:pt idx="32">
                  <c:v>251</c:v>
                </c:pt>
                <c:pt idx="33">
                  <c:v>261</c:v>
                </c:pt>
                <c:pt idx="34">
                  <c:v>296</c:v>
                </c:pt>
                <c:pt idx="35">
                  <c:v>288</c:v>
                </c:pt>
                <c:pt idx="36">
                  <c:v>247</c:v>
                </c:pt>
                <c:pt idx="37">
                  <c:v>224</c:v>
                </c:pt>
                <c:pt idx="38">
                  <c:v>217</c:v>
                </c:pt>
                <c:pt idx="39">
                  <c:v>281</c:v>
                </c:pt>
                <c:pt idx="40">
                  <c:v>327</c:v>
                </c:pt>
                <c:pt idx="41">
                  <c:v>333</c:v>
                </c:pt>
                <c:pt idx="42">
                  <c:v>335</c:v>
                </c:pt>
                <c:pt idx="43">
                  <c:v>320</c:v>
                </c:pt>
                <c:pt idx="44">
                  <c:v>283</c:v>
                </c:pt>
                <c:pt idx="45">
                  <c:v>243</c:v>
                </c:pt>
                <c:pt idx="46">
                  <c:v>309</c:v>
                </c:pt>
                <c:pt idx="47">
                  <c:v>336</c:v>
                </c:pt>
                <c:pt idx="48">
                  <c:v>335</c:v>
                </c:pt>
                <c:pt idx="49">
                  <c:v>327</c:v>
                </c:pt>
                <c:pt idx="50">
                  <c:v>302</c:v>
                </c:pt>
                <c:pt idx="51">
                  <c:v>311</c:v>
                </c:pt>
                <c:pt idx="52">
                  <c:v>287</c:v>
                </c:pt>
                <c:pt idx="53">
                  <c:v>340</c:v>
                </c:pt>
                <c:pt idx="54">
                  <c:v>364</c:v>
                </c:pt>
                <c:pt idx="55">
                  <c:v>383</c:v>
                </c:pt>
                <c:pt idx="56">
                  <c:v>359</c:v>
                </c:pt>
                <c:pt idx="57">
                  <c:v>306</c:v>
                </c:pt>
                <c:pt idx="58">
                  <c:v>281</c:v>
                </c:pt>
                <c:pt idx="59">
                  <c:v>213</c:v>
                </c:pt>
                <c:pt idx="60">
                  <c:v>234</c:v>
                </c:pt>
                <c:pt idx="61">
                  <c:v>318</c:v>
                </c:pt>
                <c:pt idx="62">
                  <c:v>335</c:v>
                </c:pt>
                <c:pt idx="63">
                  <c:v>368</c:v>
                </c:pt>
                <c:pt idx="64">
                  <c:v>362</c:v>
                </c:pt>
                <c:pt idx="65">
                  <c:v>332</c:v>
                </c:pt>
                <c:pt idx="66">
                  <c:v>324</c:v>
                </c:pt>
                <c:pt idx="67">
                  <c:v>394</c:v>
                </c:pt>
                <c:pt idx="68">
                  <c:v>434</c:v>
                </c:pt>
                <c:pt idx="69">
                  <c:v>433</c:v>
                </c:pt>
                <c:pt idx="70">
                  <c:v>424</c:v>
                </c:pt>
                <c:pt idx="71">
                  <c:v>409</c:v>
                </c:pt>
                <c:pt idx="72">
                  <c:v>398</c:v>
                </c:pt>
                <c:pt idx="73">
                  <c:v>409</c:v>
                </c:pt>
                <c:pt idx="74">
                  <c:v>461</c:v>
                </c:pt>
                <c:pt idx="75">
                  <c:v>491</c:v>
                </c:pt>
                <c:pt idx="76">
                  <c:v>477</c:v>
                </c:pt>
                <c:pt idx="77">
                  <c:v>471</c:v>
                </c:pt>
                <c:pt idx="78">
                  <c:v>447</c:v>
                </c:pt>
                <c:pt idx="79">
                  <c:v>437</c:v>
                </c:pt>
                <c:pt idx="80">
                  <c:v>425</c:v>
                </c:pt>
                <c:pt idx="81">
                  <c:v>456</c:v>
                </c:pt>
                <c:pt idx="82">
                  <c:v>461</c:v>
                </c:pt>
                <c:pt idx="83">
                  <c:v>459</c:v>
                </c:pt>
                <c:pt idx="84">
                  <c:v>443</c:v>
                </c:pt>
                <c:pt idx="85">
                  <c:v>449</c:v>
                </c:pt>
                <c:pt idx="86">
                  <c:v>437</c:v>
                </c:pt>
                <c:pt idx="87">
                  <c:v>404</c:v>
                </c:pt>
                <c:pt idx="88">
                  <c:v>425</c:v>
                </c:pt>
                <c:pt idx="89">
                  <c:v>427</c:v>
                </c:pt>
                <c:pt idx="90">
                  <c:v>420</c:v>
                </c:pt>
                <c:pt idx="91">
                  <c:v>395</c:v>
                </c:pt>
                <c:pt idx="92">
                  <c:v>377</c:v>
                </c:pt>
                <c:pt idx="93">
                  <c:v>348</c:v>
                </c:pt>
                <c:pt idx="94">
                  <c:v>315</c:v>
                </c:pt>
                <c:pt idx="95">
                  <c:v>313</c:v>
                </c:pt>
                <c:pt idx="96">
                  <c:v>283</c:v>
                </c:pt>
                <c:pt idx="97">
                  <c:v>265</c:v>
                </c:pt>
                <c:pt idx="98">
                  <c:v>253</c:v>
                </c:pt>
                <c:pt idx="99">
                  <c:v>235</c:v>
                </c:pt>
                <c:pt idx="100">
                  <c:v>289</c:v>
                </c:pt>
                <c:pt idx="101">
                  <c:v>372</c:v>
                </c:pt>
                <c:pt idx="102">
                  <c:v>455</c:v>
                </c:pt>
                <c:pt idx="103">
                  <c:v>501</c:v>
                </c:pt>
                <c:pt idx="104">
                  <c:v>527</c:v>
                </c:pt>
                <c:pt idx="105">
                  <c:v>518</c:v>
                </c:pt>
                <c:pt idx="106">
                  <c:v>510</c:v>
                </c:pt>
                <c:pt idx="107">
                  <c:v>508</c:v>
                </c:pt>
                <c:pt idx="108">
                  <c:v>496</c:v>
                </c:pt>
                <c:pt idx="109">
                  <c:v>518</c:v>
                </c:pt>
                <c:pt idx="110">
                  <c:v>543</c:v>
                </c:pt>
                <c:pt idx="111">
                  <c:v>536</c:v>
                </c:pt>
                <c:pt idx="112">
                  <c:v>546</c:v>
                </c:pt>
                <c:pt idx="113">
                  <c:v>537</c:v>
                </c:pt>
                <c:pt idx="114">
                  <c:v>524</c:v>
                </c:pt>
                <c:pt idx="115">
                  <c:v>505</c:v>
                </c:pt>
                <c:pt idx="116">
                  <c:v>547</c:v>
                </c:pt>
                <c:pt idx="117">
                  <c:v>548</c:v>
                </c:pt>
                <c:pt idx="118">
                  <c:v>542</c:v>
                </c:pt>
                <c:pt idx="119">
                  <c:v>562</c:v>
                </c:pt>
                <c:pt idx="120">
                  <c:v>538</c:v>
                </c:pt>
                <c:pt idx="121">
                  <c:v>528</c:v>
                </c:pt>
                <c:pt idx="122">
                  <c:v>516</c:v>
                </c:pt>
                <c:pt idx="123">
                  <c:v>548</c:v>
                </c:pt>
                <c:pt idx="124">
                  <c:v>567</c:v>
                </c:pt>
                <c:pt idx="125">
                  <c:v>562</c:v>
                </c:pt>
                <c:pt idx="126">
                  <c:v>567</c:v>
                </c:pt>
                <c:pt idx="127">
                  <c:v>563</c:v>
                </c:pt>
                <c:pt idx="128">
                  <c:v>562</c:v>
                </c:pt>
                <c:pt idx="129">
                  <c:v>552</c:v>
                </c:pt>
                <c:pt idx="130">
                  <c:v>588</c:v>
                </c:pt>
                <c:pt idx="131">
                  <c:v>588</c:v>
                </c:pt>
                <c:pt idx="132">
                  <c:v>577</c:v>
                </c:pt>
                <c:pt idx="133">
                  <c:v>581</c:v>
                </c:pt>
                <c:pt idx="134">
                  <c:v>578</c:v>
                </c:pt>
                <c:pt idx="135">
                  <c:v>563</c:v>
                </c:pt>
                <c:pt idx="136">
                  <c:v>538</c:v>
                </c:pt>
                <c:pt idx="137">
                  <c:v>552</c:v>
                </c:pt>
                <c:pt idx="138">
                  <c:v>549</c:v>
                </c:pt>
                <c:pt idx="139">
                  <c:v>563</c:v>
                </c:pt>
                <c:pt idx="140">
                  <c:v>567</c:v>
                </c:pt>
                <c:pt idx="141">
                  <c:v>554</c:v>
                </c:pt>
                <c:pt idx="142">
                  <c:v>549</c:v>
                </c:pt>
                <c:pt idx="143">
                  <c:v>549</c:v>
                </c:pt>
                <c:pt idx="144">
                  <c:v>584</c:v>
                </c:pt>
                <c:pt idx="145">
                  <c:v>591</c:v>
                </c:pt>
                <c:pt idx="146">
                  <c:v>598</c:v>
                </c:pt>
                <c:pt idx="147">
                  <c:v>589</c:v>
                </c:pt>
                <c:pt idx="148">
                  <c:v>587</c:v>
                </c:pt>
                <c:pt idx="149">
                  <c:v>572</c:v>
                </c:pt>
                <c:pt idx="150">
                  <c:v>565</c:v>
                </c:pt>
                <c:pt idx="151">
                  <c:v>597</c:v>
                </c:pt>
                <c:pt idx="152">
                  <c:v>602</c:v>
                </c:pt>
                <c:pt idx="153">
                  <c:v>602</c:v>
                </c:pt>
                <c:pt idx="154">
                  <c:v>595</c:v>
                </c:pt>
                <c:pt idx="155">
                  <c:v>597</c:v>
                </c:pt>
                <c:pt idx="156">
                  <c:v>583</c:v>
                </c:pt>
                <c:pt idx="157">
                  <c:v>572</c:v>
                </c:pt>
                <c:pt idx="158">
                  <c:v>597</c:v>
                </c:pt>
                <c:pt idx="159">
                  <c:v>579</c:v>
                </c:pt>
                <c:pt idx="160">
                  <c:v>572</c:v>
                </c:pt>
                <c:pt idx="161">
                  <c:v>565</c:v>
                </c:pt>
                <c:pt idx="162">
                  <c:v>537</c:v>
                </c:pt>
                <c:pt idx="163">
                  <c:v>508</c:v>
                </c:pt>
                <c:pt idx="164">
                  <c:v>492</c:v>
                </c:pt>
                <c:pt idx="165">
                  <c:v>509</c:v>
                </c:pt>
                <c:pt idx="166">
                  <c:v>544</c:v>
                </c:pt>
                <c:pt idx="167">
                  <c:v>543</c:v>
                </c:pt>
                <c:pt idx="168">
                  <c:v>545</c:v>
                </c:pt>
                <c:pt idx="169">
                  <c:v>544</c:v>
                </c:pt>
                <c:pt idx="170">
                  <c:v>539</c:v>
                </c:pt>
                <c:pt idx="171">
                  <c:v>531</c:v>
                </c:pt>
                <c:pt idx="172">
                  <c:v>533</c:v>
                </c:pt>
                <c:pt idx="173">
                  <c:v>546</c:v>
                </c:pt>
                <c:pt idx="174">
                  <c:v>530</c:v>
                </c:pt>
                <c:pt idx="175">
                  <c:v>537</c:v>
                </c:pt>
                <c:pt idx="176">
                  <c:v>528</c:v>
                </c:pt>
                <c:pt idx="177">
                  <c:v>504</c:v>
                </c:pt>
                <c:pt idx="178">
                  <c:v>493</c:v>
                </c:pt>
                <c:pt idx="179">
                  <c:v>493</c:v>
                </c:pt>
                <c:pt idx="180">
                  <c:v>428</c:v>
                </c:pt>
                <c:pt idx="181">
                  <c:v>417</c:v>
                </c:pt>
                <c:pt idx="182">
                  <c:v>418</c:v>
                </c:pt>
                <c:pt idx="183">
                  <c:v>410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34811"/>
        <c:axId val="60232851"/>
      </c:lineChart>
      <c:catAx>
        <c:axId val="7434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232851"/>
        <c:crosses val="autoZero"/>
        <c:auto val="1"/>
        <c:lblAlgn val="ctr"/>
        <c:lblOffset val="100"/>
        <c:noMultiLvlLbl val="0"/>
      </c:catAx>
      <c:valAx>
        <c:axId val="60232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48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17</xdr:col>
      <xdr:colOff>78480</xdr:colOff>
      <xdr:row>24</xdr:row>
      <xdr:rowOff>182520</xdr:rowOff>
    </xdr:to>
    <xdr:graphicFrame>
      <xdr:nvGraphicFramePr>
        <xdr:cNvPr id="1" name="Chart 1"/>
        <xdr:cNvGraphicFramePr/>
      </xdr:nvGraphicFramePr>
      <xdr:xfrm>
        <a:off x="3148920" y="6285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4" t="s">
        <v>188</v>
      </c>
    </row>
    <row r="2" customFormat="false" ht="17.15" hidden="false" customHeight="false" outlineLevel="0" collapsed="false">
      <c r="A2" s="5" t="s">
        <v>189</v>
      </c>
    </row>
    <row r="4" customFormat="false" ht="15" hidden="false" customHeight="false" outlineLevel="0" collapsed="false">
      <c r="A4" s="6" t="s">
        <v>190</v>
      </c>
      <c r="B4" s="6" t="s">
        <v>191</v>
      </c>
    </row>
    <row r="5" customFormat="false" ht="15" hidden="false" customHeight="false" outlineLevel="0" collapsed="false">
      <c r="A5" s="5" t="s">
        <v>192</v>
      </c>
      <c r="B5" s="3" t="n">
        <f aca="false">日別データ!B2</f>
        <v>335</v>
      </c>
    </row>
    <row r="6" customFormat="false" ht="17.15" hidden="false" customHeight="false" outlineLevel="0" collapsed="false">
      <c r="A6" s="3" t="s">
        <v>193</v>
      </c>
      <c r="B6" s="3" t="n">
        <f aca="false">日別データ!B9</f>
        <v>379</v>
      </c>
    </row>
    <row r="7" customFormat="false" ht="17.15" hidden="false" customHeight="false" outlineLevel="0" collapsed="false">
      <c r="A7" s="3" t="s">
        <v>194</v>
      </c>
      <c r="B7" s="3" t="n">
        <f aca="false">日別データ!B32</f>
        <v>240</v>
      </c>
    </row>
    <row r="8" customFormat="false" ht="17.15" hidden="false" customHeight="false" outlineLevel="0" collapsed="false">
      <c r="A8" s="3" t="s">
        <v>195</v>
      </c>
      <c r="B8" s="3" t="n">
        <f aca="false">日別データ!B62</f>
        <v>234</v>
      </c>
    </row>
    <row r="9" customFormat="false" ht="17.15" hidden="false" customHeight="false" outlineLevel="0" collapsed="false">
      <c r="A9" s="3" t="s">
        <v>196</v>
      </c>
      <c r="B9" s="3" t="n">
        <f aca="false">日別データ!B92</f>
        <v>420</v>
      </c>
    </row>
    <row r="10" customFormat="false" ht="17.15" hidden="false" customHeight="false" outlineLevel="0" collapsed="false">
      <c r="A10" s="3" t="s">
        <v>197</v>
      </c>
      <c r="B10" s="3" t="n">
        <f aca="false">日別データ!B182</f>
        <v>428</v>
      </c>
    </row>
    <row r="11" customFormat="false" ht="15" hidden="false" customHeight="false" outlineLevel="0" collapsed="false">
      <c r="A11" s="5" t="s">
        <v>198</v>
      </c>
      <c r="B11" s="3" t="n">
        <f aca="false">MIN(日別データ!B2:B185)</f>
        <v>100</v>
      </c>
    </row>
    <row r="12" customFormat="false" ht="15" hidden="false" customHeight="false" outlineLevel="0" collapsed="false">
      <c r="A12" s="5" t="s">
        <v>199</v>
      </c>
      <c r="B12" s="3" t="n">
        <f aca="false">MAX(日別データ!B2:B185)</f>
        <v>602</v>
      </c>
    </row>
    <row r="13" customFormat="false" ht="15" hidden="false" customHeight="false" outlineLevel="0" collapsed="false">
      <c r="A13" s="5" t="s">
        <v>200</v>
      </c>
      <c r="B13" s="3" t="n">
        <f aca="false">AVERAGE(日別データ!B2:B185)</f>
        <v>422.396739130435</v>
      </c>
    </row>
    <row r="14" customFormat="false" ht="15" hidden="false" customHeight="false" outlineLevel="0" collapsed="false">
      <c r="A14" s="5" t="s">
        <v>201</v>
      </c>
      <c r="B14" s="3" t="n">
        <f aca="false">MEDIAN(日別データ!B2:B185)</f>
        <v>437</v>
      </c>
    </row>
    <row r="17" customFormat="false" ht="15" hidden="false" customHeight="false" outlineLevel="0" collapsed="false">
      <c r="A17" s="6" t="s">
        <v>202</v>
      </c>
    </row>
    <row r="18" customFormat="false" ht="15" hidden="false" customHeight="false" outlineLevel="0" collapsed="false">
      <c r="A18" s="6" t="s">
        <v>203</v>
      </c>
      <c r="B18" s="6" t="s">
        <v>204</v>
      </c>
    </row>
    <row r="19" customFormat="false" ht="15" hidden="false" customHeight="false" outlineLevel="0" collapsed="false">
      <c r="A19" s="3" t="s">
        <v>205</v>
      </c>
      <c r="B19" s="3" t="n">
        <f aca="false">AVERAGEIF(日別データ!A2:A185,"2026-09*",日別データ!B2:B185)</f>
        <v>398.375</v>
      </c>
    </row>
    <row r="20" customFormat="false" ht="15" hidden="false" customHeight="false" outlineLevel="0" collapsed="false">
      <c r="A20" s="3" t="s">
        <v>206</v>
      </c>
      <c r="B20" s="3" t="n">
        <f aca="false">AVERAGEIF(日別データ!A2:A185,"2026-10*",日別データ!B2:B185)</f>
        <v>233.935483870968</v>
      </c>
    </row>
    <row r="21" customFormat="false" ht="15" hidden="false" customHeight="false" outlineLevel="0" collapsed="false">
      <c r="A21" s="3" t="s">
        <v>207</v>
      </c>
      <c r="B21" s="3" t="n">
        <f aca="false">AVERAGEIF(日別データ!A2:A185,"2026-11*",日別データ!B2:B185)</f>
        <v>322.533333333333</v>
      </c>
    </row>
    <row r="22" customFormat="false" ht="15" hidden="false" customHeight="false" outlineLevel="0" collapsed="false">
      <c r="A22" s="3" t="s">
        <v>208</v>
      </c>
      <c r="B22" s="3" t="n">
        <f aca="false">AVERAGEIF(日別データ!A2:A185,"2026-12*",日別データ!B2:B185)</f>
        <v>401.516129032258</v>
      </c>
    </row>
    <row r="23" customFormat="false" ht="15" hidden="false" customHeight="false" outlineLevel="0" collapsed="false">
      <c r="A23" s="3" t="s">
        <v>209</v>
      </c>
      <c r="B23" s="3" t="n">
        <f aca="false">AVERAGEIF(日別データ!A2:A185,"2027-01*",日別データ!B2:B185)</f>
        <v>521.774193548387</v>
      </c>
    </row>
    <row r="24" customFormat="false" ht="15" hidden="false" customHeight="false" outlineLevel="0" collapsed="false">
      <c r="A24" s="3" t="s">
        <v>210</v>
      </c>
      <c r="B24" s="3" t="n">
        <f aca="false">AVERAGEIF(日別データ!A2:A185,"2027-02*",日別データ!B2:B185)</f>
        <v>576.392857142857</v>
      </c>
    </row>
    <row r="25" customFormat="false" ht="15" hidden="false" customHeight="false" outlineLevel="0" collapsed="false">
      <c r="A25" s="3" t="s">
        <v>211</v>
      </c>
      <c r="B25" s="3" t="n">
        <f aca="false">AVERAGEIF(日別データ!A2:A185,"2027-03*",日別データ!B2:B185)</f>
        <v>513.8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2026-09-22T20:08:24Z</dcterms:created>
  <dc:creator>openpyxl</dc:creator>
  <dc:description/>
  <dc:language>en-US</dc:language>
  <cp:lastModifiedBy/>
  <dcterms:modified xsi:type="dcterms:W3CDTF">2026-09-23T05:08:29Z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