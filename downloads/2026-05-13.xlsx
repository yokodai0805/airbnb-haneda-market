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" sheetId="1" state="visible" r:id="rId3"/>
    <sheet name="Monthly" sheetId="2" state="visible" r:id="rId4"/>
    <sheet name="Cha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<sst xmlns="http://schemas.openxmlformats.org/spreadsheetml/2006/main" count="383" uniqueCount="22">
  <si>
    <t xml:space="preserve">日付</t>
  </si>
  <si>
    <t xml:space="preserve">曜日</t>
  </si>
  <si>
    <t xml:space="preserve">在庫数（件）</t>
  </si>
  <si>
    <t xml:space="preserve">月</t>
  </si>
  <si>
    <t xml:space="preserve">水</t>
  </si>
  <si>
    <t xml:space="preserve">2026-05</t>
  </si>
  <si>
    <t xml:space="preserve">木</t>
  </si>
  <si>
    <t xml:space="preserve">金</t>
  </si>
  <si>
    <t xml:space="preserve">土</t>
  </si>
  <si>
    <t xml:space="preserve">日</t>
  </si>
  <si>
    <t xml:space="preserve">火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</si>
  <si>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</si>
  <si>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</si>
  <si>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</si>
  <si>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</si>
  <si>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</si>
  <si>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</si>
  <si>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平均在庫数</t>
  </si>
  <si>
    <t xml:space="preserve">最小</t>
  </si>
  <si>
    <t xml:space="preserve">最大</t>
  </si>
  <si>
    <t xml:space="preserve">日数</t>
  </si>
  <si>
    <t xml:space="preserve">全期間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</si>
</sst>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"/>
    <numFmt numFmtId="167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sz val="11"/>
      <name val="Arial"/>
      <family val="0"/>
      <charset val="1"/>
    </font>
    <font>
      <sz val="11"/>
      <name val="DejaVu Sans"/>
      <family val="2"/>
    </font>
    <font>
      <b val="true"/>
      <sz val="11"/>
      <name val="DejaVu Sans"/>
      <family val="2"/>
    </font>
    <font>
      <b val="true"/>
      <sz val="11"/>
      <name val="Arial"/>
      <family val="0"/>
      <charset val="1"/>
    </font>
    <font>
      <b val="true"/>
      <sz val="18"/>
      <color rgb="FF000000"/>
      <name val="DejaVu 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2E5C9E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CCFFFF"/>
      <rgbColor rgb="FF660066"/>
      <rgbColor rgb="FFFF8080"/>
      <rgbColor rgb="FF2E5C9E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羽田空港・ゲストチョイス・大人5名・1泊 在庫数推移（2026-05-13）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Daily!C1</c:f>
              <c:strCache>
                <c:ptCount val="1"/>
                <c:pt idx="0">
                  <c:v>在庫数（件）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Daily!$A$2:$A$184</c:f>
              <c:strCache>
                <c:ptCount val="183"/>
                <c:pt idx="0">
                  <c:v>2026-05-13</c:v>
                </c:pt>
                <c:pt idx="1">
                  <c:v>2026-05-14</c:v>
                </c:pt>
                <c:pt idx="2">
                  <c:v>2026-05-15</c:v>
                </c:pt>
                <c:pt idx="3">
                  <c:v>2026-05-16</c:v>
                </c:pt>
                <c:pt idx="4">
                  <c:v>2026-05-17</c:v>
                </c:pt>
                <c:pt idx="5">
                  <c:v>2026-05-18</c:v>
                </c:pt>
                <c:pt idx="6">
                  <c:v>2026-05-19</c:v>
                </c:pt>
                <c:pt idx="7">
                  <c:v>2026-05-20</c:v>
                </c:pt>
                <c:pt idx="8">
                  <c:v>2026-05-21</c:v>
                </c:pt>
                <c:pt idx="9">
                  <c:v>2026-05-22</c:v>
                </c:pt>
                <c:pt idx="10">
                  <c:v>2026-05-23</c:v>
                </c:pt>
                <c:pt idx="11">
                  <c:v>2026-05-24</c:v>
                </c:pt>
                <c:pt idx="12">
                  <c:v>2026-05-25</c:v>
                </c:pt>
                <c:pt idx="13">
                  <c:v>2026-05-26</c:v>
                </c:pt>
                <c:pt idx="14">
                  <c:v>2026-05-27</c:v>
                </c:pt>
                <c:pt idx="15">
                  <c:v>2026-05-28</c:v>
                </c:pt>
                <c:pt idx="16">
                  <c:v>2026-05-29</c:v>
                </c:pt>
                <c:pt idx="17">
                  <c:v>2026-05-30</c:v>
                </c:pt>
                <c:pt idx="18">
                  <c:v>2026-05-31</c:v>
                </c:pt>
                <c:pt idx="19">
                  <c:v>2026-06-01</c:v>
                </c:pt>
                <c:pt idx="20">
                  <c:v>2026-06-02</c:v>
                </c:pt>
                <c:pt idx="21">
                  <c:v>2026-06-03</c:v>
                </c:pt>
                <c:pt idx="22">
                  <c:v>2026-06-04</c:v>
                </c:pt>
                <c:pt idx="23">
                  <c:v>2026-06-05</c:v>
                </c:pt>
                <c:pt idx="24">
                  <c:v>2026-06-06</c:v>
                </c:pt>
                <c:pt idx="25">
                  <c:v>2026-06-07</c:v>
                </c:pt>
                <c:pt idx="26">
                  <c:v>2026-06-08</c:v>
                </c:pt>
                <c:pt idx="27">
                  <c:v>2026-06-09</c:v>
                </c:pt>
                <c:pt idx="28">
                  <c:v>2026-06-10</c:v>
                </c:pt>
                <c:pt idx="29">
                  <c:v>2026-06-11</c:v>
                </c:pt>
                <c:pt idx="30">
                  <c:v>2026-06-12</c:v>
                </c:pt>
                <c:pt idx="31">
                  <c:v>2026-06-13</c:v>
                </c:pt>
                <c:pt idx="32">
                  <c:v>2026-06-14</c:v>
                </c:pt>
                <c:pt idx="33">
                  <c:v>2026-06-15</c:v>
                </c:pt>
                <c:pt idx="34">
                  <c:v>2026-06-16</c:v>
                </c:pt>
                <c:pt idx="35">
                  <c:v>2026-06-17</c:v>
                </c:pt>
                <c:pt idx="36">
                  <c:v>2026-06-18</c:v>
                </c:pt>
                <c:pt idx="37">
                  <c:v>2026-06-19</c:v>
                </c:pt>
                <c:pt idx="38">
                  <c:v>2026-06-20</c:v>
                </c:pt>
                <c:pt idx="39">
                  <c:v>2026-06-21</c:v>
                </c:pt>
                <c:pt idx="40">
                  <c:v>2026-06-22</c:v>
                </c:pt>
                <c:pt idx="41">
                  <c:v>2026-06-23</c:v>
                </c:pt>
                <c:pt idx="42">
                  <c:v>2026-06-24</c:v>
                </c:pt>
                <c:pt idx="43">
                  <c:v>2026-06-25</c:v>
                </c:pt>
                <c:pt idx="44">
                  <c:v>2026-06-26</c:v>
                </c:pt>
                <c:pt idx="45">
                  <c:v>2026-06-27</c:v>
                </c:pt>
                <c:pt idx="46">
                  <c:v>2026-06-28</c:v>
                </c:pt>
                <c:pt idx="47">
                  <c:v>2026-06-29</c:v>
                </c:pt>
                <c:pt idx="48">
                  <c:v>2026-06-30</c:v>
                </c:pt>
                <c:pt idx="49">
                  <c:v>2026-07-01</c:v>
                </c:pt>
                <c:pt idx="50">
                  <c:v>2026-07-02</c:v>
                </c:pt>
                <c:pt idx="51">
                  <c:v>2026-07-03</c:v>
                </c:pt>
                <c:pt idx="52">
                  <c:v>2026-07-04</c:v>
                </c:pt>
                <c:pt idx="53">
                  <c:v>2026-07-05</c:v>
                </c:pt>
                <c:pt idx="54">
                  <c:v>2026-07-06</c:v>
                </c:pt>
                <c:pt idx="55">
                  <c:v>2026-07-07</c:v>
                </c:pt>
                <c:pt idx="56">
                  <c:v>2026-07-08</c:v>
                </c:pt>
                <c:pt idx="57">
                  <c:v>2026-07-09</c:v>
                </c:pt>
                <c:pt idx="58">
                  <c:v>2026-07-10</c:v>
                </c:pt>
                <c:pt idx="59">
                  <c:v>2026-07-11</c:v>
                </c:pt>
                <c:pt idx="60">
                  <c:v>2026-07-12</c:v>
                </c:pt>
                <c:pt idx="61">
                  <c:v>2026-07-13</c:v>
                </c:pt>
                <c:pt idx="62">
                  <c:v>2026-07-14</c:v>
                </c:pt>
                <c:pt idx="63">
                  <c:v>2026-07-15</c:v>
                </c:pt>
                <c:pt idx="64">
                  <c:v>2026-07-16</c:v>
                </c:pt>
                <c:pt idx="65">
                  <c:v>2026-07-17</c:v>
                </c:pt>
                <c:pt idx="66">
                  <c:v>2026-07-18</c:v>
                </c:pt>
                <c:pt idx="67">
                  <c:v>2026-07-19</c:v>
                </c:pt>
                <c:pt idx="68">
                  <c:v>2026-07-20</c:v>
                </c:pt>
                <c:pt idx="69">
                  <c:v>2026-07-21</c:v>
                </c:pt>
                <c:pt idx="70">
                  <c:v>2026-07-22</c:v>
                </c:pt>
                <c:pt idx="71">
                  <c:v>2026-07-23</c:v>
                </c:pt>
                <c:pt idx="72">
                  <c:v>2026-07-24</c:v>
                </c:pt>
                <c:pt idx="73">
                  <c:v>2026-07-25</c:v>
                </c:pt>
                <c:pt idx="74">
                  <c:v>2026-07-26</c:v>
                </c:pt>
                <c:pt idx="75">
                  <c:v>2026-07-27</c:v>
                </c:pt>
                <c:pt idx="76">
                  <c:v>2026-07-28</c:v>
                </c:pt>
                <c:pt idx="77">
                  <c:v>2026-07-29</c:v>
                </c:pt>
                <c:pt idx="78">
                  <c:v>2026-07-30</c:v>
                </c:pt>
                <c:pt idx="79">
                  <c:v>2026-07-31</c:v>
                </c:pt>
                <c:pt idx="80">
                  <c:v>2026-08-01</c:v>
                </c:pt>
                <c:pt idx="81">
                  <c:v>2026-08-02</c:v>
                </c:pt>
                <c:pt idx="82">
                  <c:v>2026-08-03</c:v>
                </c:pt>
                <c:pt idx="83">
                  <c:v>2026-08-04</c:v>
                </c:pt>
                <c:pt idx="84">
                  <c:v>2026-08-05</c:v>
                </c:pt>
                <c:pt idx="85">
                  <c:v>2026-08-06</c:v>
                </c:pt>
                <c:pt idx="86">
                  <c:v>2026-08-07</c:v>
                </c:pt>
                <c:pt idx="87">
                  <c:v>2026-08-08</c:v>
                </c:pt>
                <c:pt idx="88">
                  <c:v>2026-08-09</c:v>
                </c:pt>
                <c:pt idx="89">
                  <c:v>2026-08-10</c:v>
                </c:pt>
                <c:pt idx="90">
                  <c:v>2026-08-11</c:v>
                </c:pt>
                <c:pt idx="91">
                  <c:v>2026-08-12</c:v>
                </c:pt>
                <c:pt idx="92">
                  <c:v>2026-08-13</c:v>
                </c:pt>
                <c:pt idx="93">
                  <c:v>2026-08-14</c:v>
                </c:pt>
                <c:pt idx="94">
                  <c:v>2026-08-15</c:v>
                </c:pt>
                <c:pt idx="95">
                  <c:v>2026-08-16</c:v>
                </c:pt>
                <c:pt idx="96">
                  <c:v>2026-08-17</c:v>
                </c:pt>
                <c:pt idx="97">
                  <c:v>2026-08-18</c:v>
                </c:pt>
                <c:pt idx="98">
                  <c:v>2026-08-19</c:v>
                </c:pt>
                <c:pt idx="99">
                  <c:v>2026-08-20</c:v>
                </c:pt>
                <c:pt idx="100">
                  <c:v>2026-08-21</c:v>
                </c:pt>
                <c:pt idx="101">
                  <c:v>2026-08-22</c:v>
                </c:pt>
                <c:pt idx="102">
                  <c:v>2026-08-23</c:v>
                </c:pt>
                <c:pt idx="103">
                  <c:v>2026-08-24</c:v>
                </c:pt>
                <c:pt idx="104">
                  <c:v>2026-08-25</c:v>
                </c:pt>
                <c:pt idx="105">
                  <c:v>2026-08-26</c:v>
                </c:pt>
                <c:pt idx="106">
                  <c:v>2026-08-27</c:v>
                </c:pt>
                <c:pt idx="107">
                  <c:v>2026-08-28</c:v>
                </c:pt>
                <c:pt idx="108">
                  <c:v>2026-08-29</c:v>
                </c:pt>
                <c:pt idx="109">
                  <c:v>2026-08-30</c:v>
                </c:pt>
                <c:pt idx="110">
                  <c:v>2026-08-31</c:v>
                </c:pt>
                <c:pt idx="111">
                  <c:v>2026-09-01</c:v>
                </c:pt>
                <c:pt idx="112">
                  <c:v>2026-09-02</c:v>
                </c:pt>
                <c:pt idx="113">
                  <c:v>2026-09-03</c:v>
                </c:pt>
                <c:pt idx="114">
                  <c:v>2026-09-04</c:v>
                </c:pt>
                <c:pt idx="115">
                  <c:v>2026-09-05</c:v>
                </c:pt>
                <c:pt idx="116">
                  <c:v>2026-09-06</c:v>
                </c:pt>
                <c:pt idx="117">
                  <c:v>2026-09-07</c:v>
                </c:pt>
                <c:pt idx="118">
                  <c:v>2026-09-08</c:v>
                </c:pt>
                <c:pt idx="119">
                  <c:v>2026-09-09</c:v>
                </c:pt>
                <c:pt idx="120">
                  <c:v>2026-09-10</c:v>
                </c:pt>
                <c:pt idx="121">
                  <c:v>2026-09-11</c:v>
                </c:pt>
                <c:pt idx="122">
                  <c:v>2026-09-12</c:v>
                </c:pt>
                <c:pt idx="123">
                  <c:v>2026-09-13</c:v>
                </c:pt>
                <c:pt idx="124">
                  <c:v>2026-09-14</c:v>
                </c:pt>
                <c:pt idx="125">
                  <c:v>2026-09-15</c:v>
                </c:pt>
                <c:pt idx="126">
                  <c:v>2026-09-16</c:v>
                </c:pt>
                <c:pt idx="127">
                  <c:v>2026-09-17</c:v>
                </c:pt>
                <c:pt idx="128">
                  <c:v>2026-09-18</c:v>
                </c:pt>
                <c:pt idx="129">
                  <c:v>2026-09-19</c:v>
                </c:pt>
                <c:pt idx="130">
                  <c:v>2026-09-20</c:v>
                </c:pt>
                <c:pt idx="131">
                  <c:v>2026-09-21</c:v>
                </c:pt>
                <c:pt idx="132">
                  <c:v>2026-09-22</c:v>
                </c:pt>
                <c:pt idx="133">
                  <c:v>2026-09-23</c:v>
                </c:pt>
                <c:pt idx="134">
                  <c:v>2026-09-24</c:v>
                </c:pt>
                <c:pt idx="135">
                  <c:v>2026-09-25</c:v>
                </c:pt>
                <c:pt idx="136">
                  <c:v>2026-09-26</c:v>
                </c:pt>
                <c:pt idx="137">
                  <c:v>2026-09-27</c:v>
                </c:pt>
                <c:pt idx="138">
                  <c:v>2026-09-28</c:v>
                </c:pt>
                <c:pt idx="139">
                  <c:v>2026-09-29</c:v>
                </c:pt>
                <c:pt idx="140">
                  <c:v>2026-09-30</c:v>
                </c:pt>
                <c:pt idx="141">
                  <c:v>2026-10-01</c:v>
                </c:pt>
                <c:pt idx="142">
                  <c:v>2026-10-02</c:v>
                </c:pt>
                <c:pt idx="143">
                  <c:v>2026-10-03</c:v>
                </c:pt>
                <c:pt idx="144">
                  <c:v>2026-10-04</c:v>
                </c:pt>
                <c:pt idx="145">
                  <c:v>2026-10-05</c:v>
                </c:pt>
                <c:pt idx="146">
                  <c:v>2026-10-06</c:v>
                </c:pt>
                <c:pt idx="147">
                  <c:v>2026-10-07</c:v>
                </c:pt>
                <c:pt idx="148">
                  <c:v>2026-10-08</c:v>
                </c:pt>
                <c:pt idx="149">
                  <c:v>2026-10-09</c:v>
                </c:pt>
                <c:pt idx="150">
                  <c:v>2026-10-10</c:v>
                </c:pt>
                <c:pt idx="151">
                  <c:v>2026-10-11</c:v>
                </c:pt>
                <c:pt idx="152">
                  <c:v>2026-10-12</c:v>
                </c:pt>
                <c:pt idx="153">
                  <c:v>2026-10-13</c:v>
                </c:pt>
                <c:pt idx="154">
                  <c:v>2026-10-14</c:v>
                </c:pt>
                <c:pt idx="155">
                  <c:v>2026-10-15</c:v>
                </c:pt>
                <c:pt idx="156">
                  <c:v>2026-10-16</c:v>
                </c:pt>
                <c:pt idx="157">
                  <c:v>2026-10-17</c:v>
                </c:pt>
                <c:pt idx="158">
                  <c:v>2026-10-18</c:v>
                </c:pt>
                <c:pt idx="159">
                  <c:v>2026-10-19</c:v>
                </c:pt>
                <c:pt idx="160">
                  <c:v>2026-10-20</c:v>
                </c:pt>
                <c:pt idx="161">
                  <c:v>2026-10-21</c:v>
                </c:pt>
                <c:pt idx="162">
                  <c:v>2026-10-22</c:v>
                </c:pt>
                <c:pt idx="163">
                  <c:v>2026-10-23</c:v>
                </c:pt>
                <c:pt idx="164">
                  <c:v>2026-10-24</c:v>
                </c:pt>
                <c:pt idx="165">
                  <c:v>2026-10-25</c:v>
                </c:pt>
                <c:pt idx="166">
                  <c:v>2026-10-26</c:v>
                </c:pt>
                <c:pt idx="167">
                  <c:v>2026-10-27</c:v>
                </c:pt>
                <c:pt idx="168">
                  <c:v>2026-10-28</c:v>
                </c:pt>
                <c:pt idx="169">
                  <c:v>2026-10-29</c:v>
                </c:pt>
                <c:pt idx="170">
                  <c:v>2026-10-30</c:v>
                </c:pt>
                <c:pt idx="171">
                  <c:v>2026-10-31</c:v>
                </c:pt>
                <c:pt idx="172">
                  <c:v>2026-11-01</c:v>
                </c:pt>
                <c:pt idx="173">
                  <c:v>2026-11-02</c:v>
                </c:pt>
                <c:pt idx="174">
                  <c:v>2026-11-03</c:v>
                </c:pt>
                <c:pt idx="175">
                  <c:v>2026-11-04</c:v>
                </c:pt>
                <c:pt idx="176">
                  <c:v>2026-11-05</c:v>
                </c:pt>
                <c:pt idx="177">
                  <c:v>2026-11-06</c:v>
                </c:pt>
                <c:pt idx="178">
                  <c:v>2026-11-07</c:v>
                </c:pt>
                <c:pt idx="179">
                  <c:v>2026-11-08</c:v>
                </c:pt>
                <c:pt idx="180">
                  <c:v>2026-11-09</c:v>
                </c:pt>
                <c:pt idx="181">
                  <c:v>2026-11-10</c:v>
                </c:pt>
                <c:pt idx="182">
                  <c:v>2026-11-11</c:v>
                </c:pt>
              </c:strCache>
            </c:strRef>
          </c:cat>
          <c:val>
            <c:numRef>
              <c:f>Daily!$C$2:$C$184</c:f>
              <c:numCache>
                <c:formatCode>General</c:formatCode>
                <c:ptCount val="183"/>
                <c:pt idx="0">
                  <c:v>160</c:v>
                </c:pt>
                <c:pt idx="1">
                  <c:v>160</c:v>
                </c:pt>
                <c:pt idx="2">
                  <c:v>149</c:v>
                </c:pt>
                <c:pt idx="3">
                  <c:v>92</c:v>
                </c:pt>
                <c:pt idx="4">
                  <c:v>216</c:v>
                </c:pt>
                <c:pt idx="5">
                  <c:v>270</c:v>
                </c:pt>
                <c:pt idx="6">
                  <c:v>280</c:v>
                </c:pt>
                <c:pt idx="7">
                  <c:v>243</c:v>
                </c:pt>
                <c:pt idx="8">
                  <c:v>197</c:v>
                </c:pt>
                <c:pt idx="9">
                  <c:v>155</c:v>
                </c:pt>
                <c:pt idx="10">
                  <c:v>91</c:v>
                </c:pt>
                <c:pt idx="11">
                  <c:v>177</c:v>
                </c:pt>
                <c:pt idx="12">
                  <c:v>215</c:v>
                </c:pt>
                <c:pt idx="13">
                  <c:v>240</c:v>
                </c:pt>
                <c:pt idx="14">
                  <c:v>261</c:v>
                </c:pt>
                <c:pt idx="15">
                  <c:v>218</c:v>
                </c:pt>
                <c:pt idx="16">
                  <c:v>198</c:v>
                </c:pt>
                <c:pt idx="17">
                  <c:v>155</c:v>
                </c:pt>
                <c:pt idx="18">
                  <c:v>245</c:v>
                </c:pt>
                <c:pt idx="19">
                  <c:v>329</c:v>
                </c:pt>
                <c:pt idx="20">
                  <c:v>354</c:v>
                </c:pt>
                <c:pt idx="21">
                  <c:v>357</c:v>
                </c:pt>
                <c:pt idx="22">
                  <c:v>363</c:v>
                </c:pt>
                <c:pt idx="23">
                  <c:v>358</c:v>
                </c:pt>
                <c:pt idx="24">
                  <c:v>356</c:v>
                </c:pt>
                <c:pt idx="25">
                  <c:v>432</c:v>
                </c:pt>
                <c:pt idx="26">
                  <c:v>465</c:v>
                </c:pt>
                <c:pt idx="27">
                  <c:v>484</c:v>
                </c:pt>
                <c:pt idx="28">
                  <c:v>487</c:v>
                </c:pt>
                <c:pt idx="29">
                  <c:v>488</c:v>
                </c:pt>
                <c:pt idx="30">
                  <c:v>434</c:v>
                </c:pt>
                <c:pt idx="31">
                  <c:v>387</c:v>
                </c:pt>
                <c:pt idx="32">
                  <c:v>443</c:v>
                </c:pt>
                <c:pt idx="33">
                  <c:v>456</c:v>
                </c:pt>
                <c:pt idx="34">
                  <c:v>467</c:v>
                </c:pt>
                <c:pt idx="35">
                  <c:v>465</c:v>
                </c:pt>
                <c:pt idx="36">
                  <c:v>466</c:v>
                </c:pt>
                <c:pt idx="37">
                  <c:v>426</c:v>
                </c:pt>
                <c:pt idx="38">
                  <c:v>408</c:v>
                </c:pt>
                <c:pt idx="39">
                  <c:v>466</c:v>
                </c:pt>
                <c:pt idx="40">
                  <c:v>484</c:v>
                </c:pt>
                <c:pt idx="41">
                  <c:v>490</c:v>
                </c:pt>
                <c:pt idx="42">
                  <c:v>492</c:v>
                </c:pt>
                <c:pt idx="43">
                  <c:v>452</c:v>
                </c:pt>
                <c:pt idx="44">
                  <c:v>440</c:v>
                </c:pt>
                <c:pt idx="45">
                  <c:v>429</c:v>
                </c:pt>
                <c:pt idx="46">
                  <c:v>486</c:v>
                </c:pt>
                <c:pt idx="47">
                  <c:v>489</c:v>
                </c:pt>
                <c:pt idx="48">
                  <c:v>499</c:v>
                </c:pt>
                <c:pt idx="49">
                  <c:v>484</c:v>
                </c:pt>
                <c:pt idx="50">
                  <c:v>477</c:v>
                </c:pt>
                <c:pt idx="51">
                  <c:v>451</c:v>
                </c:pt>
                <c:pt idx="52">
                  <c:v>413</c:v>
                </c:pt>
                <c:pt idx="53">
                  <c:v>445</c:v>
                </c:pt>
                <c:pt idx="54">
                  <c:v>457</c:v>
                </c:pt>
                <c:pt idx="55">
                  <c:v>468</c:v>
                </c:pt>
                <c:pt idx="56">
                  <c:v>477</c:v>
                </c:pt>
                <c:pt idx="57">
                  <c:v>470</c:v>
                </c:pt>
                <c:pt idx="58">
                  <c:v>457</c:v>
                </c:pt>
                <c:pt idx="59">
                  <c:v>425</c:v>
                </c:pt>
                <c:pt idx="60">
                  <c:v>491</c:v>
                </c:pt>
                <c:pt idx="61">
                  <c:v>507</c:v>
                </c:pt>
                <c:pt idx="62">
                  <c:v>503</c:v>
                </c:pt>
                <c:pt idx="63">
                  <c:v>501</c:v>
                </c:pt>
                <c:pt idx="64">
                  <c:v>489</c:v>
                </c:pt>
                <c:pt idx="65">
                  <c:v>482</c:v>
                </c:pt>
                <c:pt idx="66">
                  <c:v>441</c:v>
                </c:pt>
                <c:pt idx="67">
                  <c:v>482</c:v>
                </c:pt>
                <c:pt idx="68">
                  <c:v>518</c:v>
                </c:pt>
                <c:pt idx="69">
                  <c:v>529</c:v>
                </c:pt>
                <c:pt idx="70">
                  <c:v>532</c:v>
                </c:pt>
                <c:pt idx="71">
                  <c:v>531</c:v>
                </c:pt>
                <c:pt idx="72">
                  <c:v>493</c:v>
                </c:pt>
                <c:pt idx="73">
                  <c:v>468</c:v>
                </c:pt>
                <c:pt idx="74">
                  <c:v>521</c:v>
                </c:pt>
                <c:pt idx="75">
                  <c:v>532</c:v>
                </c:pt>
                <c:pt idx="76">
                  <c:v>525</c:v>
                </c:pt>
                <c:pt idx="77">
                  <c:v>549</c:v>
                </c:pt>
                <c:pt idx="78">
                  <c:v>536</c:v>
                </c:pt>
                <c:pt idx="79">
                  <c:v>535</c:v>
                </c:pt>
                <c:pt idx="80">
                  <c:v>497</c:v>
                </c:pt>
                <c:pt idx="81">
                  <c:v>544</c:v>
                </c:pt>
                <c:pt idx="82">
                  <c:v>577</c:v>
                </c:pt>
                <c:pt idx="83">
                  <c:v>587</c:v>
                </c:pt>
                <c:pt idx="84">
                  <c:v>587</c:v>
                </c:pt>
                <c:pt idx="85">
                  <c:v>588</c:v>
                </c:pt>
                <c:pt idx="86">
                  <c:v>577</c:v>
                </c:pt>
                <c:pt idx="87">
                  <c:v>559</c:v>
                </c:pt>
                <c:pt idx="88">
                  <c:v>588</c:v>
                </c:pt>
                <c:pt idx="89">
                  <c:v>600</c:v>
                </c:pt>
                <c:pt idx="90">
                  <c:v>596</c:v>
                </c:pt>
                <c:pt idx="91">
                  <c:v>584</c:v>
                </c:pt>
                <c:pt idx="92">
                  <c:v>582</c:v>
                </c:pt>
                <c:pt idx="93">
                  <c:v>583</c:v>
                </c:pt>
                <c:pt idx="94">
                  <c:v>582</c:v>
                </c:pt>
                <c:pt idx="95">
                  <c:v>611</c:v>
                </c:pt>
                <c:pt idx="96">
                  <c:v>623</c:v>
                </c:pt>
                <c:pt idx="97">
                  <c:v>625</c:v>
                </c:pt>
                <c:pt idx="98">
                  <c:v>620</c:v>
                </c:pt>
                <c:pt idx="99">
                  <c:v>613</c:v>
                </c:pt>
                <c:pt idx="100">
                  <c:v>603</c:v>
                </c:pt>
                <c:pt idx="101">
                  <c:v>607</c:v>
                </c:pt>
                <c:pt idx="102">
                  <c:v>631</c:v>
                </c:pt>
                <c:pt idx="103">
                  <c:v>640</c:v>
                </c:pt>
                <c:pt idx="104">
                  <c:v>637</c:v>
                </c:pt>
                <c:pt idx="105">
                  <c:v>643</c:v>
                </c:pt>
                <c:pt idx="106">
                  <c:v>649</c:v>
                </c:pt>
                <c:pt idx="107">
                  <c:v>638</c:v>
                </c:pt>
                <c:pt idx="108">
                  <c:v>629</c:v>
                </c:pt>
                <c:pt idx="109">
                  <c:v>660</c:v>
                </c:pt>
                <c:pt idx="110">
                  <c:v>670</c:v>
                </c:pt>
                <c:pt idx="111">
                  <c:v>641</c:v>
                </c:pt>
                <c:pt idx="112">
                  <c:v>637</c:v>
                </c:pt>
                <c:pt idx="113">
                  <c:v>632</c:v>
                </c:pt>
                <c:pt idx="114">
                  <c:v>612</c:v>
                </c:pt>
                <c:pt idx="115">
                  <c:v>603</c:v>
                </c:pt>
                <c:pt idx="116">
                  <c:v>631</c:v>
                </c:pt>
                <c:pt idx="117">
                  <c:v>631</c:v>
                </c:pt>
                <c:pt idx="118">
                  <c:v>640</c:v>
                </c:pt>
                <c:pt idx="119">
                  <c:v>648</c:v>
                </c:pt>
                <c:pt idx="120">
                  <c:v>640</c:v>
                </c:pt>
                <c:pt idx="121">
                  <c:v>633</c:v>
                </c:pt>
                <c:pt idx="122">
                  <c:v>618</c:v>
                </c:pt>
                <c:pt idx="123">
                  <c:v>643</c:v>
                </c:pt>
                <c:pt idx="124">
                  <c:v>642</c:v>
                </c:pt>
                <c:pt idx="125">
                  <c:v>638</c:v>
                </c:pt>
                <c:pt idx="126">
                  <c:v>615</c:v>
                </c:pt>
                <c:pt idx="127">
                  <c:v>599</c:v>
                </c:pt>
                <c:pt idx="128">
                  <c:v>560</c:v>
                </c:pt>
                <c:pt idx="129">
                  <c:v>521</c:v>
                </c:pt>
                <c:pt idx="130">
                  <c:v>536</c:v>
                </c:pt>
                <c:pt idx="131">
                  <c:v>553</c:v>
                </c:pt>
                <c:pt idx="132">
                  <c:v>551</c:v>
                </c:pt>
                <c:pt idx="133">
                  <c:v>567</c:v>
                </c:pt>
                <c:pt idx="134">
                  <c:v>582</c:v>
                </c:pt>
                <c:pt idx="135">
                  <c:v>569</c:v>
                </c:pt>
                <c:pt idx="136">
                  <c:v>569</c:v>
                </c:pt>
                <c:pt idx="137">
                  <c:v>606</c:v>
                </c:pt>
                <c:pt idx="138">
                  <c:v>601</c:v>
                </c:pt>
                <c:pt idx="139">
                  <c:v>599</c:v>
                </c:pt>
                <c:pt idx="140">
                  <c:v>584</c:v>
                </c:pt>
                <c:pt idx="141">
                  <c:v>550</c:v>
                </c:pt>
                <c:pt idx="142">
                  <c:v>529</c:v>
                </c:pt>
                <c:pt idx="143">
                  <c:v>497</c:v>
                </c:pt>
                <c:pt idx="144">
                  <c:v>515</c:v>
                </c:pt>
                <c:pt idx="145">
                  <c:v>525</c:v>
                </c:pt>
                <c:pt idx="146">
                  <c:v>524</c:v>
                </c:pt>
                <c:pt idx="147">
                  <c:v>522</c:v>
                </c:pt>
                <c:pt idx="148">
                  <c:v>496</c:v>
                </c:pt>
                <c:pt idx="149">
                  <c:v>489</c:v>
                </c:pt>
                <c:pt idx="150">
                  <c:v>467</c:v>
                </c:pt>
                <c:pt idx="151">
                  <c:v>496</c:v>
                </c:pt>
                <c:pt idx="152">
                  <c:v>524</c:v>
                </c:pt>
                <c:pt idx="153">
                  <c:v>528</c:v>
                </c:pt>
                <c:pt idx="154">
                  <c:v>532</c:v>
                </c:pt>
                <c:pt idx="155">
                  <c:v>513</c:v>
                </c:pt>
                <c:pt idx="156">
                  <c:v>501</c:v>
                </c:pt>
                <c:pt idx="157">
                  <c:v>476</c:v>
                </c:pt>
                <c:pt idx="158">
                  <c:v>507</c:v>
                </c:pt>
                <c:pt idx="159">
                  <c:v>518</c:v>
                </c:pt>
                <c:pt idx="160">
                  <c:v>530</c:v>
                </c:pt>
                <c:pt idx="161">
                  <c:v>528</c:v>
                </c:pt>
                <c:pt idx="162">
                  <c:v>524</c:v>
                </c:pt>
                <c:pt idx="163">
                  <c:v>521</c:v>
                </c:pt>
                <c:pt idx="164">
                  <c:v>501</c:v>
                </c:pt>
                <c:pt idx="165">
                  <c:v>528</c:v>
                </c:pt>
                <c:pt idx="166">
                  <c:v>534</c:v>
                </c:pt>
                <c:pt idx="167">
                  <c:v>531</c:v>
                </c:pt>
                <c:pt idx="168">
                  <c:v>521</c:v>
                </c:pt>
                <c:pt idx="169">
                  <c:v>518</c:v>
                </c:pt>
                <c:pt idx="170">
                  <c:v>506</c:v>
                </c:pt>
                <c:pt idx="171">
                  <c:v>518</c:v>
                </c:pt>
                <c:pt idx="172">
                  <c:v>534</c:v>
                </c:pt>
                <c:pt idx="173">
                  <c:v>547</c:v>
                </c:pt>
                <c:pt idx="174">
                  <c:v>541</c:v>
                </c:pt>
                <c:pt idx="175">
                  <c:v>542</c:v>
                </c:pt>
                <c:pt idx="176">
                  <c:v>530</c:v>
                </c:pt>
                <c:pt idx="177">
                  <c:v>517</c:v>
                </c:pt>
                <c:pt idx="178">
                  <c:v>510</c:v>
                </c:pt>
                <c:pt idx="179">
                  <c:v>532</c:v>
                </c:pt>
                <c:pt idx="180">
                  <c:v>454</c:v>
                </c:pt>
                <c:pt idx="181">
                  <c:v>466</c:v>
                </c:pt>
                <c:pt idx="182">
                  <c:v>472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083207"/>
        <c:axId val="1385665"/>
      </c:lineChart>
      <c:catAx>
        <c:axId val="150832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85665"/>
        <c:crosses val="autoZero"/>
        <c:auto val="1"/>
        <c:lblAlgn val="ctr"/>
        <c:lblOffset val="100"/>
        <c:noMultiLvlLbl val="0"/>
      </c:catAx>
      <c:valAx>
        <c:axId val="13856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在庫数（件）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0832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15</xdr:col>
      <xdr:colOff>438840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611640" y="190440"/>
        <a:ext cx="89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5" min="3" style="0" width="10"/>
  </cols>
  <sheetData>
    <row r="1" customFormat="false" ht="15" hidden="false" customHeight="false" outlineLevel="0" collapsed="false">
      <c r="A1" s="1" t="s">
        <v>3</v>
      </c>
      <c r="B1" s="1" t="s">
        <v>17</v>
      </c>
      <c r="C1" s="1" t="s">
        <v>18</v>
      </c>
      <c r="D1" s="1" t="s">
        <v>19</v>
      </c>
      <c r="E1" s="1" t="s">
        <v>20</v>
      </c>
    </row>
    <row r="2" customFormat="false" ht="15" hidden="false" customHeight="false" outlineLevel="0" collapsed="false">
      <c r="A2" s="4" t="s">
        <v>5</v>
      </c>
      <c r="B2" s="5" t="n">
        <f aca="false">AVERAGEIF(Daily!$D$2:$D$184,A2,Daily!$C$2:$C$184)</f>
        <v>195.894736842105</v>
      </c>
      <c r="C2" s="6" t="n">
        <f aca="false">SUMPRODUCT(MIN(IF(Daily!$D$2:$D$184=A2,Daily!$C$2:$C$184)))</f>
        <v>91</v>
      </c>
      <c r="D2" s="6" t="n">
        <f aca="false">SUMPRODUCT(MAX(IF(Daily!$D$2:$D$184=A2,Daily!$C$2:$C$184)))</f>
        <v>280</v>
      </c>
      <c r="E2" s="4" t="n">
        <f aca="false">COUNTIF(Daily!$D$2:$D$184,A2)</f>
        <v>19</v>
      </c>
    </row>
    <row r="3" customFormat="false" ht="15" hidden="false" customHeight="false" outlineLevel="0" collapsed="false">
      <c r="A3" s="4" t="s">
        <v>11</v>
      </c>
      <c r="B3" s="5" t="n">
        <f aca="false">AVERAGEIF(Daily!$D$2:$D$184,A3,Daily!$C$2:$C$184)</f>
        <v>438.4</v>
      </c>
      <c r="C3" s="6" t="n">
        <f aca="false">SUMPRODUCT(MIN(IF(Daily!$D$2:$D$184=A3,Daily!$C$2:$C$184)))</f>
        <v>329</v>
      </c>
      <c r="D3" s="6" t="n">
        <f aca="false">SUMPRODUCT(MAX(IF(Daily!$D$2:$D$184=A3,Daily!$C$2:$C$184)))</f>
        <v>499</v>
      </c>
      <c r="E3" s="4" t="n">
        <f aca="false">COUNTIF(Daily!$D$2:$D$184,A3)</f>
        <v>30</v>
      </c>
    </row>
    <row r="4" customFormat="false" ht="15" hidden="false" customHeight="false" outlineLevel="0" collapsed="false">
      <c r="A4" s="4" t="s">
        <v>12</v>
      </c>
      <c r="B4" s="5" t="n">
        <f aca="false">AVERAGEIF(Daily!$D$2:$D$184,A4,Daily!$C$2:$C$184)</f>
        <v>489.967741935484</v>
      </c>
      <c r="C4" s="6" t="n">
        <f aca="false">SUMPRODUCT(MIN(IF(Daily!$D$2:$D$184=A4,Daily!$C$2:$C$184)))</f>
        <v>413</v>
      </c>
      <c r="D4" s="6" t="n">
        <f aca="false">SUMPRODUCT(MAX(IF(Daily!$D$2:$D$184=A4,Daily!$C$2:$C$184)))</f>
        <v>549</v>
      </c>
      <c r="E4" s="4" t="n">
        <f aca="false">COUNTIF(Daily!$D$2:$D$184,A4)</f>
        <v>31</v>
      </c>
    </row>
    <row r="5" customFormat="false" ht="15" hidden="false" customHeight="false" outlineLevel="0" collapsed="false">
      <c r="A5" s="4" t="s">
        <v>13</v>
      </c>
      <c r="B5" s="5" t="n">
        <f aca="false">AVERAGEIF(Daily!$D$2:$D$184,A5,Daily!$C$2:$C$184)</f>
        <v>604.193548387097</v>
      </c>
      <c r="C5" s="6" t="n">
        <f aca="false">SUMPRODUCT(MIN(IF(Daily!$D$2:$D$184=A5,Daily!$C$2:$C$184)))</f>
        <v>497</v>
      </c>
      <c r="D5" s="6" t="n">
        <f aca="false">SUMPRODUCT(MAX(IF(Daily!$D$2:$D$184=A5,Daily!$C$2:$C$184)))</f>
        <v>670</v>
      </c>
      <c r="E5" s="4" t="n">
        <f aca="false">COUNTIF(Daily!$D$2:$D$184,A5)</f>
        <v>31</v>
      </c>
    </row>
    <row r="6" customFormat="false" ht="15" hidden="false" customHeight="false" outlineLevel="0" collapsed="false">
      <c r="A6" s="4" t="s">
        <v>14</v>
      </c>
      <c r="B6" s="5" t="n">
        <f aca="false">AVERAGEIF(Daily!$D$2:$D$184,A6,Daily!$C$2:$C$184)</f>
        <v>603.366666666667</v>
      </c>
      <c r="C6" s="6" t="n">
        <f aca="false">SUMPRODUCT(MIN(IF(Daily!$D$2:$D$184=A6,Daily!$C$2:$C$184)))</f>
        <v>521</v>
      </c>
      <c r="D6" s="6" t="n">
        <f aca="false">SUMPRODUCT(MAX(IF(Daily!$D$2:$D$184=A6,Daily!$C$2:$C$184)))</f>
        <v>648</v>
      </c>
      <c r="E6" s="4" t="n">
        <f aca="false">COUNTIF(Daily!$D$2:$D$184,A6)</f>
        <v>30</v>
      </c>
    </row>
    <row r="7" customFormat="false" ht="15" hidden="false" customHeight="false" outlineLevel="0" collapsed="false">
      <c r="A7" s="4" t="s">
        <v>15</v>
      </c>
      <c r="B7" s="5" t="n">
        <f aca="false">AVERAGEIF(Daily!$D$2:$D$184,A7,Daily!$C$2:$C$184)</f>
        <v>515.129032258065</v>
      </c>
      <c r="C7" s="6" t="n">
        <f aca="false">SUMPRODUCT(MIN(IF(Daily!$D$2:$D$184=A7,Daily!$C$2:$C$184)))</f>
        <v>467</v>
      </c>
      <c r="D7" s="6" t="n">
        <f aca="false">SUMPRODUCT(MAX(IF(Daily!$D$2:$D$184=A7,Daily!$C$2:$C$184)))</f>
        <v>550</v>
      </c>
      <c r="E7" s="4" t="n">
        <f aca="false">COUNTIF(Daily!$D$2:$D$184,A7)</f>
        <v>31</v>
      </c>
    </row>
    <row r="8" customFormat="false" ht="15" hidden="false" customHeight="false" outlineLevel="0" collapsed="false">
      <c r="A8" s="4" t="s">
        <v>16</v>
      </c>
      <c r="B8" s="5" t="n">
        <f aca="false">AVERAGEIF(Daily!$D$2:$D$184,A8,Daily!$C$2:$C$184)</f>
        <v>513.181818181818</v>
      </c>
      <c r="C8" s="6" t="n">
        <f aca="false">SUMPRODUCT(MIN(IF(Daily!$D$2:$D$184=A8,Daily!$C$2:$C$184)))</f>
        <v>454</v>
      </c>
      <c r="D8" s="6" t="n">
        <f aca="false">SUMPRODUCT(MAX(IF(Daily!$D$2:$D$184=A8,Daily!$C$2:$C$184)))</f>
        <v>547</v>
      </c>
      <c r="E8" s="4" t="n">
        <f aca="false">COUNTIF(Daily!$D$2:$D$184,A8)</f>
        <v>11</v>
      </c>
    </row>
    <row r="9" customFormat="false" ht="15" hidden="false" customHeight="false" outlineLevel="0" collapsed="false">
      <c r="A9" s="7" t="s">
        <v>21</v>
      </c>
      <c r="B9" s="8" t="n">
        <f aca="false">AVERAGE(Daily!C2:C184)</f>
        <v>494.579234972678</v>
      </c>
      <c r="C9" s="9" t="n">
        <f aca="false">MIN(Daily!C2:C184)</f>
        <v>91</v>
      </c>
      <c r="D9" s="9" t="n">
        <f aca="false">MAX(Daily!C2:C184)</f>
        <v>670</v>
      </c>
      <c r="E9" s="7" t="n">
        <f aca="false">COUNT(Daily!C2:C184)</f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2026-05-13T11:29:40Z</dcterms:created>
  <dc:creator>openpyxl</dc:creator>
  <dc:description/>
  <dc:language>en-US</dc:language>
  <cp:lastModifiedBy/>
  <dcterms:modified xsi:type="dcterms:W3CDTF">2026-05-13T11:29:41Z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