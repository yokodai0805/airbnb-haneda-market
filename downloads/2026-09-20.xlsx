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日別データ" sheetId="1" state="visible" r:id="rId3"/>
    <sheet name="サマリー" sheetId="2" state="visible" r:id="rId4"/>
    <sheet name="月別サマリー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<sst xmlns="http://schemas.openxmlformats.org/spreadsheetml/2006/main" count="27" uniqueCount="27">
  <si>
    <t xml:space="preserve">日付</t>
  </si>
  <si>
    <r>
      <rPr>
        <b val="true"/>
        <sz val="11"/>
        <color rgb="FFFFFFFF"/>
        <rFont val="Noto Sans CJK SC"/>
        <family val="2"/>
      </rPr>
      <t xml:space="preserve">在庫件数（羽田空港・まるまる貸切</t>
    </r>
    <r>
      <rPr>
        <b val="true"/>
        <sz val="11"/>
        <color rgb="FFFFFFFF"/>
        <rFont val="Arial"/>
        <family val="0"/>
        <charset val="1"/>
      </rPr>
      <t xml:space="preserve">×</t>
    </r>
    <r>
      <rPr>
        <b val="true"/>
        <sz val="11"/>
        <color rgb="FFFFFFFF"/>
        <rFont val="Noto Sans CJK SC"/>
        <family val="2"/>
      </rPr>
      <t xml:space="preserve">ゲストチョイス・大人</t>
    </r>
    <r>
      <rPr>
        <b val="true"/>
        <sz val="11"/>
        <color rgb="FFFFFFFF"/>
        <rFont val="Arial"/>
        <family val="0"/>
        <charset val="1"/>
      </rPr>
      <t xml:space="preserve">5</t>
    </r>
    <r>
      <rPr>
        <b val="true"/>
        <sz val="11"/>
        <color rgb="FFFFFFFF"/>
        <rFont val="Noto Sans CJK SC"/>
        <family val="2"/>
      </rPr>
      <t xml:space="preserve">人・</t>
    </r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泊）</t>
    </r>
  </si>
  <si>
    <r>
      <rPr>
        <b val="true"/>
        <sz val="14"/>
        <rFont val="Noto Sans CJK SC"/>
        <family val="2"/>
      </rPr>
      <t xml:space="preserve">アピチェ大森 </t>
    </r>
    <r>
      <rPr>
        <b val="true"/>
        <sz val="14"/>
        <rFont val="Arial"/>
        <family val="0"/>
        <charset val="1"/>
      </rPr>
      <t xml:space="preserve">Airbnb</t>
    </r>
    <r>
      <rPr>
        <b val="true"/>
        <sz val="14"/>
        <rFont val="Noto Sans CJK SC"/>
        <family val="2"/>
      </rPr>
      <t xml:space="preserve">競合市場在庫数サマリー</t>
    </r>
  </si>
  <si>
    <r>
      <rPr>
        <sz val="11"/>
        <rFont val="Noto Sans CJK SC"/>
        <family val="2"/>
      </rPr>
      <t xml:space="preserve">取得日</t>
    </r>
    <r>
      <rPr>
        <sz val="11"/>
        <rFont val="Arial"/>
        <family val="0"/>
        <charset val="1"/>
      </rPr>
      <t xml:space="preserve">: 2026-09-20</t>
    </r>
  </si>
  <si>
    <t xml:space="preserve">指標</t>
  </si>
  <si>
    <t xml:space="preserve">値</t>
  </si>
  <si>
    <t xml:space="preserve">当日件数</t>
  </si>
  <si>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週間後 </t>
    </r>
    <r>
      <rPr>
        <sz val="11"/>
        <rFont val="Arial"/>
        <family val="0"/>
        <charset val="1"/>
      </rPr>
      <t xml:space="preserve">(+7</t>
    </r>
    <r>
      <rPr>
        <sz val="11"/>
        <rFont val="Noto Sans CJK SC"/>
        <family val="2"/>
      </rPr>
      <t xml:space="preserve">日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</si>
  <si>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30</t>
    </r>
    <r>
      <rPr>
        <sz val="11"/>
        <rFont val="Noto Sans CJK SC"/>
        <family val="2"/>
      </rPr>
      <t xml:space="preserve">日後</t>
    </r>
  </si>
  <si>
    <r>
      <rPr>
        <sz val="11"/>
        <rFont val="Arial"/>
        <family val="0"/>
        <charset val="1"/>
      </rPr>
      <t xml:space="preserve">60</t>
    </r>
    <r>
      <rPr>
        <sz val="11"/>
        <rFont val="Noto Sans CJK SC"/>
        <family val="2"/>
      </rPr>
      <t xml:space="preserve">日後</t>
    </r>
  </si>
  <si>
    <r>
      <rPr>
        <sz val="11"/>
        <rFont val="Arial"/>
        <family val="0"/>
        <charset val="1"/>
      </rPr>
      <t xml:space="preserve">90</t>
    </r>
    <r>
      <rPr>
        <sz val="11"/>
        <rFont val="Noto Sans CJK SC"/>
        <family val="2"/>
      </rPr>
      <t xml:space="preserve">日後</t>
    </r>
  </si>
  <si>
    <r>
      <rPr>
        <sz val="11"/>
        <rFont val="Arial"/>
        <family val="0"/>
        <charset val="1"/>
      </rPr>
      <t xml:space="preserve">180</t>
    </r>
    <r>
      <rPr>
        <sz val="11"/>
        <rFont val="Noto Sans CJK SC"/>
        <family val="2"/>
      </rPr>
      <t xml:space="preserve">日後</t>
    </r>
  </si>
  <si>
    <t xml:space="preserve">最小値</t>
  </si>
  <si>
    <t xml:space="preserve">最大値</t>
  </si>
  <si>
    <t xml:space="preserve">平均値</t>
  </si>
  <si>
    <t xml:space="preserve">中央値</t>
  </si>
  <si>
    <r>
      <rPr>
        <i val="true"/>
        <sz val="9"/>
        <rFont val="Noto Sans CJK SC"/>
        <family val="2"/>
      </rPr>
      <t xml:space="preserve">※ 対象セグメント</t>
    </r>
    <r>
      <rPr>
        <i val="true"/>
        <sz val="9"/>
        <rFont val="Arial"/>
        <family val="0"/>
        <charset val="1"/>
      </rPr>
      <t xml:space="preserve">: </t>
    </r>
    <r>
      <rPr>
        <i val="true"/>
        <sz val="9"/>
        <rFont val="Noto Sans CJK SC"/>
        <family val="2"/>
      </rPr>
      <t xml:space="preserve">羽田空港エリア／まるまる貸切／ゲストチョイス獲得済み／大人</t>
    </r>
    <r>
      <rPr>
        <i val="true"/>
        <sz val="9"/>
        <rFont val="Arial"/>
        <family val="0"/>
        <charset val="1"/>
      </rPr>
      <t xml:space="preserve">5</t>
    </r>
    <r>
      <rPr>
        <i val="true"/>
        <sz val="9"/>
        <rFont val="Noto Sans CJK SC"/>
        <family val="2"/>
      </rPr>
      <t xml:space="preserve">人対応／</t>
    </r>
    <r>
      <rPr>
        <i val="true"/>
        <sz val="9"/>
        <rFont val="Arial"/>
        <family val="0"/>
        <charset val="1"/>
      </rPr>
      <t xml:space="preserve">1</t>
    </r>
    <r>
      <rPr>
        <i val="true"/>
        <sz val="9"/>
        <rFont val="Noto Sans CJK SC"/>
        <family val="2"/>
      </rPr>
      <t xml:space="preserve">泊</t>
    </r>
  </si>
  <si>
    <r>
      <rPr>
        <i val="true"/>
        <sz val="9"/>
        <rFont val="Noto Sans CJK SC"/>
        <family val="2"/>
      </rPr>
      <t xml:space="preserve">※ データ取得元</t>
    </r>
    <r>
      <rPr>
        <i val="true"/>
        <sz val="9"/>
        <rFont val="Arial"/>
        <family val="0"/>
        <charset val="1"/>
      </rPr>
      <t xml:space="preserve">: Airbnb</t>
    </r>
    <r>
      <rPr>
        <i val="true"/>
        <sz val="9"/>
        <rFont val="Noto Sans CJK SC"/>
        <family val="2"/>
      </rPr>
      <t xml:space="preserve">検索結果ページ（</t>
    </r>
    <r>
      <rPr>
        <i val="true"/>
        <sz val="9"/>
        <rFont val="Arial"/>
        <family val="0"/>
        <charset val="1"/>
      </rPr>
      <t xml:space="preserve">Hanedakuko--Japan, room_types=Entire home/apt, guest_favorite=true</t>
    </r>
    <r>
      <rPr>
        <i val="true"/>
        <sz val="9"/>
        <rFont val="Noto Sans CJK SC"/>
        <family val="2"/>
      </rPr>
      <t xml:space="preserve">）</t>
    </r>
  </si>
  <si>
    <t xml:space="preserve">月</t>
  </si>
  <si>
    <t xml:space="preserve">平均在庫件数</t>
  </si>
  <si>
    <t xml:space="preserve">2026-09</t>
  </si>
  <si>
    <t xml:space="preserve">2026-10</t>
  </si>
  <si>
    <t xml:space="preserve">2026-11</t>
  </si>
  <si>
    <t xml:space="preserve">2026-12</t>
  </si>
  <si>
    <t xml:space="preserve">2027-01</t>
  </si>
  <si>
    <t xml:space="preserve">2027-02</t>
  </si>
  <si>
    <t xml:space="preserve">2027-03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</si>
</sst>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8"/>
      <color rgb="FF000000"/>
      <name val="Calibri"/>
      <family val="2"/>
    </font>
    <font>
      <b val="true"/>
      <sz val="18"/>
      <color rgb="FF000000"/>
      <name val="Noto Sans CJK SC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b val="true"/>
      <sz val="14"/>
      <name val="Noto Sans CJK SC"/>
      <family val="2"/>
    </font>
    <font>
      <b val="true"/>
      <sz val="14"/>
      <name val="Arial"/>
      <family val="0"/>
      <charset val="1"/>
    </font>
    <font>
      <sz val="11"/>
      <name val="Noto Sans CJK SC"/>
      <family val="2"/>
    </font>
    <font>
      <i val="true"/>
      <sz val="9"/>
      <name val="Noto Sans CJK SC"/>
      <family val="2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A7EBB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Airbnb競合市場在庫数 日別推移（184日間）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日別データ!B1</c:f>
              <c:strCache>
                <c:ptCount val="1"/>
                <c:pt idx="0">
                  <c:v>在庫件数（羽田空港・まるまる貸切×ゲストチョイス・大人5人・1泊）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日別データ!$B$2:$B$185</c:f>
              <c:numCache>
                <c:formatCode>General</c:formatCode>
                <c:ptCount val="184"/>
                <c:pt idx="0">
                  <c:v>6</c:v>
                </c:pt>
                <c:pt idx="1">
                  <c:v>102</c:v>
                </c:pt>
                <c:pt idx="2">
                  <c:v>261</c:v>
                </c:pt>
                <c:pt idx="3">
                  <c:v>446</c:v>
                </c:pt>
                <c:pt idx="4">
                  <c:v>419</c:v>
                </c:pt>
                <c:pt idx="5">
                  <c:v>385</c:v>
                </c:pt>
                <c:pt idx="6">
                  <c:v>352</c:v>
                </c:pt>
                <c:pt idx="7">
                  <c:v>449</c:v>
                </c:pt>
                <c:pt idx="8">
                  <c:v>444</c:v>
                </c:pt>
                <c:pt idx="9">
                  <c:v>419</c:v>
                </c:pt>
                <c:pt idx="10">
                  <c:v>379</c:v>
                </c:pt>
                <c:pt idx="11">
                  <c:v>281</c:v>
                </c:pt>
                <c:pt idx="12">
                  <c:v>209</c:v>
                </c:pt>
                <c:pt idx="13">
                  <c:v>130</c:v>
                </c:pt>
                <c:pt idx="14">
                  <c:v>216</c:v>
                </c:pt>
                <c:pt idx="15">
                  <c:v>230</c:v>
                </c:pt>
                <c:pt idx="16">
                  <c:v>277</c:v>
                </c:pt>
                <c:pt idx="17">
                  <c:v>298</c:v>
                </c:pt>
                <c:pt idx="18">
                  <c:v>249</c:v>
                </c:pt>
                <c:pt idx="19">
                  <c:v>228</c:v>
                </c:pt>
                <c:pt idx="20">
                  <c:v>118</c:v>
                </c:pt>
                <c:pt idx="21">
                  <c:v>161</c:v>
                </c:pt>
                <c:pt idx="22">
                  <c:v>276</c:v>
                </c:pt>
                <c:pt idx="23">
                  <c:v>285</c:v>
                </c:pt>
                <c:pt idx="24">
                  <c:v>302</c:v>
                </c:pt>
                <c:pt idx="25">
                  <c:v>239</c:v>
                </c:pt>
                <c:pt idx="26">
                  <c:v>214</c:v>
                </c:pt>
                <c:pt idx="27">
                  <c:v>188</c:v>
                </c:pt>
                <c:pt idx="28">
                  <c:v>276</c:v>
                </c:pt>
                <c:pt idx="29">
                  <c:v>272</c:v>
                </c:pt>
                <c:pt idx="30">
                  <c:v>299</c:v>
                </c:pt>
                <c:pt idx="31">
                  <c:v>272</c:v>
                </c:pt>
                <c:pt idx="32">
                  <c:v>236</c:v>
                </c:pt>
                <c:pt idx="33">
                  <c:v>223</c:v>
                </c:pt>
                <c:pt idx="34">
                  <c:v>184</c:v>
                </c:pt>
                <c:pt idx="35">
                  <c:v>245</c:v>
                </c:pt>
                <c:pt idx="36">
                  <c:v>257</c:v>
                </c:pt>
                <c:pt idx="37">
                  <c:v>297</c:v>
                </c:pt>
                <c:pt idx="38">
                  <c:v>290</c:v>
                </c:pt>
                <c:pt idx="39">
                  <c:v>252</c:v>
                </c:pt>
                <c:pt idx="40">
                  <c:v>233</c:v>
                </c:pt>
                <c:pt idx="41">
                  <c:v>222</c:v>
                </c:pt>
                <c:pt idx="42">
                  <c:v>298</c:v>
                </c:pt>
                <c:pt idx="43">
                  <c:v>340</c:v>
                </c:pt>
                <c:pt idx="44">
                  <c:v>343</c:v>
                </c:pt>
                <c:pt idx="45">
                  <c:v>346</c:v>
                </c:pt>
                <c:pt idx="46">
                  <c:v>329</c:v>
                </c:pt>
                <c:pt idx="47">
                  <c:v>295</c:v>
                </c:pt>
                <c:pt idx="48">
                  <c:v>252</c:v>
                </c:pt>
                <c:pt idx="49">
                  <c:v>321</c:v>
                </c:pt>
                <c:pt idx="50">
                  <c:v>352</c:v>
                </c:pt>
                <c:pt idx="51">
                  <c:v>358</c:v>
                </c:pt>
                <c:pt idx="52">
                  <c:v>357</c:v>
                </c:pt>
                <c:pt idx="53">
                  <c:v>327</c:v>
                </c:pt>
                <c:pt idx="54">
                  <c:v>329</c:v>
                </c:pt>
                <c:pt idx="55">
                  <c:v>300</c:v>
                </c:pt>
                <c:pt idx="56">
                  <c:v>349</c:v>
                </c:pt>
                <c:pt idx="57">
                  <c:v>375</c:v>
                </c:pt>
                <c:pt idx="58">
                  <c:v>394</c:v>
                </c:pt>
                <c:pt idx="59">
                  <c:v>371</c:v>
                </c:pt>
                <c:pt idx="60">
                  <c:v>321</c:v>
                </c:pt>
                <c:pt idx="61">
                  <c:v>297</c:v>
                </c:pt>
                <c:pt idx="62">
                  <c:v>233</c:v>
                </c:pt>
                <c:pt idx="63">
                  <c:v>257</c:v>
                </c:pt>
                <c:pt idx="64">
                  <c:v>331</c:v>
                </c:pt>
                <c:pt idx="65">
                  <c:v>350</c:v>
                </c:pt>
                <c:pt idx="66">
                  <c:v>374</c:v>
                </c:pt>
                <c:pt idx="67">
                  <c:v>370</c:v>
                </c:pt>
                <c:pt idx="68">
                  <c:v>345</c:v>
                </c:pt>
                <c:pt idx="69">
                  <c:v>338</c:v>
                </c:pt>
                <c:pt idx="70">
                  <c:v>412</c:v>
                </c:pt>
                <c:pt idx="71">
                  <c:v>448</c:v>
                </c:pt>
                <c:pt idx="72">
                  <c:v>450</c:v>
                </c:pt>
                <c:pt idx="73">
                  <c:v>437</c:v>
                </c:pt>
                <c:pt idx="74">
                  <c:v>419</c:v>
                </c:pt>
                <c:pt idx="75">
                  <c:v>411</c:v>
                </c:pt>
                <c:pt idx="76">
                  <c:v>424</c:v>
                </c:pt>
                <c:pt idx="77">
                  <c:v>471</c:v>
                </c:pt>
                <c:pt idx="78">
                  <c:v>496</c:v>
                </c:pt>
                <c:pt idx="79">
                  <c:v>489</c:v>
                </c:pt>
                <c:pt idx="80">
                  <c:v>491</c:v>
                </c:pt>
                <c:pt idx="81">
                  <c:v>466</c:v>
                </c:pt>
                <c:pt idx="82">
                  <c:v>453</c:v>
                </c:pt>
                <c:pt idx="83">
                  <c:v>440</c:v>
                </c:pt>
                <c:pt idx="84">
                  <c:v>468</c:v>
                </c:pt>
                <c:pt idx="85">
                  <c:v>477</c:v>
                </c:pt>
                <c:pt idx="86">
                  <c:v>473</c:v>
                </c:pt>
                <c:pt idx="87">
                  <c:v>457</c:v>
                </c:pt>
                <c:pt idx="88">
                  <c:v>466</c:v>
                </c:pt>
                <c:pt idx="89">
                  <c:v>454</c:v>
                </c:pt>
                <c:pt idx="90">
                  <c:v>407</c:v>
                </c:pt>
                <c:pt idx="91">
                  <c:v>424</c:v>
                </c:pt>
                <c:pt idx="92">
                  <c:v>418</c:v>
                </c:pt>
                <c:pt idx="93">
                  <c:v>424</c:v>
                </c:pt>
                <c:pt idx="94">
                  <c:v>403</c:v>
                </c:pt>
                <c:pt idx="95">
                  <c:v>384</c:v>
                </c:pt>
                <c:pt idx="96">
                  <c:v>358</c:v>
                </c:pt>
                <c:pt idx="97">
                  <c:v>326</c:v>
                </c:pt>
                <c:pt idx="98">
                  <c:v>319</c:v>
                </c:pt>
                <c:pt idx="99">
                  <c:v>289</c:v>
                </c:pt>
                <c:pt idx="100">
                  <c:v>275</c:v>
                </c:pt>
                <c:pt idx="101">
                  <c:v>258</c:v>
                </c:pt>
                <c:pt idx="102">
                  <c:v>244</c:v>
                </c:pt>
                <c:pt idx="103">
                  <c:v>300</c:v>
                </c:pt>
                <c:pt idx="104">
                  <c:v>380</c:v>
                </c:pt>
                <c:pt idx="105">
                  <c:v>458</c:v>
                </c:pt>
                <c:pt idx="106">
                  <c:v>501</c:v>
                </c:pt>
                <c:pt idx="107">
                  <c:v>530</c:v>
                </c:pt>
                <c:pt idx="108">
                  <c:v>524</c:v>
                </c:pt>
                <c:pt idx="109">
                  <c:v>515</c:v>
                </c:pt>
                <c:pt idx="110">
                  <c:v>517</c:v>
                </c:pt>
                <c:pt idx="111">
                  <c:v>505</c:v>
                </c:pt>
                <c:pt idx="112">
                  <c:v>524</c:v>
                </c:pt>
                <c:pt idx="113">
                  <c:v>549</c:v>
                </c:pt>
                <c:pt idx="114">
                  <c:v>545</c:v>
                </c:pt>
                <c:pt idx="115">
                  <c:v>555</c:v>
                </c:pt>
                <c:pt idx="116">
                  <c:v>546</c:v>
                </c:pt>
                <c:pt idx="117">
                  <c:v>534</c:v>
                </c:pt>
                <c:pt idx="118">
                  <c:v>519</c:v>
                </c:pt>
                <c:pt idx="119">
                  <c:v>557</c:v>
                </c:pt>
                <c:pt idx="120">
                  <c:v>556</c:v>
                </c:pt>
                <c:pt idx="121">
                  <c:v>553</c:v>
                </c:pt>
                <c:pt idx="122">
                  <c:v>570</c:v>
                </c:pt>
                <c:pt idx="123">
                  <c:v>553</c:v>
                </c:pt>
                <c:pt idx="124">
                  <c:v>542</c:v>
                </c:pt>
                <c:pt idx="125">
                  <c:v>529</c:v>
                </c:pt>
                <c:pt idx="126">
                  <c:v>557</c:v>
                </c:pt>
                <c:pt idx="127">
                  <c:v>570</c:v>
                </c:pt>
                <c:pt idx="128">
                  <c:v>567</c:v>
                </c:pt>
                <c:pt idx="129">
                  <c:v>571</c:v>
                </c:pt>
                <c:pt idx="130">
                  <c:v>568</c:v>
                </c:pt>
                <c:pt idx="131">
                  <c:v>568</c:v>
                </c:pt>
                <c:pt idx="132">
                  <c:v>559</c:v>
                </c:pt>
                <c:pt idx="133">
                  <c:v>595</c:v>
                </c:pt>
                <c:pt idx="134">
                  <c:v>595</c:v>
                </c:pt>
                <c:pt idx="135">
                  <c:v>587</c:v>
                </c:pt>
                <c:pt idx="136">
                  <c:v>588</c:v>
                </c:pt>
                <c:pt idx="137">
                  <c:v>584</c:v>
                </c:pt>
                <c:pt idx="138">
                  <c:v>567</c:v>
                </c:pt>
                <c:pt idx="139">
                  <c:v>545</c:v>
                </c:pt>
                <c:pt idx="140">
                  <c:v>556</c:v>
                </c:pt>
                <c:pt idx="141">
                  <c:v>554</c:v>
                </c:pt>
                <c:pt idx="142">
                  <c:v>572</c:v>
                </c:pt>
                <c:pt idx="143">
                  <c:v>574</c:v>
                </c:pt>
                <c:pt idx="144">
                  <c:v>562</c:v>
                </c:pt>
                <c:pt idx="145">
                  <c:v>554</c:v>
                </c:pt>
                <c:pt idx="146">
                  <c:v>554</c:v>
                </c:pt>
                <c:pt idx="147">
                  <c:v>589</c:v>
                </c:pt>
                <c:pt idx="148">
                  <c:v>594</c:v>
                </c:pt>
                <c:pt idx="149">
                  <c:v>604</c:v>
                </c:pt>
                <c:pt idx="150">
                  <c:v>595</c:v>
                </c:pt>
                <c:pt idx="151">
                  <c:v>598</c:v>
                </c:pt>
                <c:pt idx="152">
                  <c:v>586</c:v>
                </c:pt>
                <c:pt idx="153">
                  <c:v>577</c:v>
                </c:pt>
                <c:pt idx="154">
                  <c:v>614</c:v>
                </c:pt>
                <c:pt idx="155">
                  <c:v>615</c:v>
                </c:pt>
                <c:pt idx="156">
                  <c:v>610</c:v>
                </c:pt>
                <c:pt idx="157">
                  <c:v>603</c:v>
                </c:pt>
                <c:pt idx="158">
                  <c:v>606</c:v>
                </c:pt>
                <c:pt idx="159">
                  <c:v>594</c:v>
                </c:pt>
                <c:pt idx="160">
                  <c:v>583</c:v>
                </c:pt>
                <c:pt idx="161">
                  <c:v>605</c:v>
                </c:pt>
                <c:pt idx="162">
                  <c:v>586</c:v>
                </c:pt>
                <c:pt idx="163">
                  <c:v>580</c:v>
                </c:pt>
                <c:pt idx="164">
                  <c:v>574</c:v>
                </c:pt>
                <c:pt idx="165">
                  <c:v>549</c:v>
                </c:pt>
                <c:pt idx="166">
                  <c:v>521</c:v>
                </c:pt>
                <c:pt idx="167">
                  <c:v>510</c:v>
                </c:pt>
                <c:pt idx="168">
                  <c:v>525</c:v>
                </c:pt>
                <c:pt idx="169">
                  <c:v>560</c:v>
                </c:pt>
                <c:pt idx="170">
                  <c:v>556</c:v>
                </c:pt>
                <c:pt idx="171">
                  <c:v>556</c:v>
                </c:pt>
                <c:pt idx="172">
                  <c:v>550</c:v>
                </c:pt>
                <c:pt idx="173">
                  <c:v>550</c:v>
                </c:pt>
                <c:pt idx="174">
                  <c:v>541</c:v>
                </c:pt>
                <c:pt idx="175">
                  <c:v>544</c:v>
                </c:pt>
                <c:pt idx="176">
                  <c:v>558</c:v>
                </c:pt>
                <c:pt idx="177">
                  <c:v>538</c:v>
                </c:pt>
                <c:pt idx="178">
                  <c:v>542</c:v>
                </c:pt>
                <c:pt idx="179">
                  <c:v>533</c:v>
                </c:pt>
                <c:pt idx="180">
                  <c:v>443</c:v>
                </c:pt>
                <c:pt idx="181">
                  <c:v>431</c:v>
                </c:pt>
                <c:pt idx="182">
                  <c:v>432</c:v>
                </c:pt>
                <c:pt idx="183">
                  <c:v>434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9301465"/>
        <c:axId val="22638232"/>
      </c:lineChart>
      <c:catAx>
        <c:axId val="3930146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日付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2638232"/>
        <c:crosses val="autoZero"/>
        <c:auto val="1"/>
        <c:lblAlgn val="ctr"/>
        <c:lblOffset val="100"/>
        <c:noMultiLvlLbl val="0"/>
      </c:catAx>
      <c:valAx>
        <c:axId val="226382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在庫件数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930146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Airbnb競合市場在庫数 月別平均推移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月別サマリー!B1</c:f>
              <c:strCache>
                <c:ptCount val="1"/>
                <c:pt idx="0">
                  <c:v>平均在庫件数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月別サマリー!$A$2:$A$8</c:f>
              <c:strCache>
                <c:ptCount val="7"/>
                <c:pt idx="0">
                  <c:v>2026-09</c:v>
                </c:pt>
                <c:pt idx="1">
                  <c:v>2026-10</c:v>
                </c:pt>
                <c:pt idx="2">
                  <c:v>2026-11</c:v>
                </c:pt>
                <c:pt idx="3">
                  <c:v>2026-12</c:v>
                </c:pt>
                <c:pt idx="4">
                  <c:v>2027-01</c:v>
                </c:pt>
                <c:pt idx="5">
                  <c:v>2027-02</c:v>
                </c:pt>
                <c:pt idx="6">
                  <c:v>2027-03</c:v>
                </c:pt>
              </c:strCache>
            </c:strRef>
          </c:cat>
          <c:val>
            <c:numRef>
              <c:f>月別サマリー!$B$2:$B$8</c:f>
              <c:numCache>
                <c:formatCode>General</c:formatCode>
                <c:ptCount val="7"/>
                <c:pt idx="0">
                  <c:v>333</c:v>
                </c:pt>
                <c:pt idx="1">
                  <c:v>241</c:v>
                </c:pt>
                <c:pt idx="2">
                  <c:v>337</c:v>
                </c:pt>
                <c:pt idx="3">
                  <c:v>412</c:v>
                </c:pt>
                <c:pt idx="4">
                  <c:v>530</c:v>
                </c:pt>
                <c:pt idx="5">
                  <c:v>584</c:v>
                </c:pt>
                <c:pt idx="6">
                  <c:v>528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2519310"/>
        <c:axId val="56544144"/>
      </c:lineChart>
      <c:catAx>
        <c:axId val="7251931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月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6544144"/>
        <c:crosses val="autoZero"/>
        <c:auto val="1"/>
        <c:lblAlgn val="ctr"/>
        <c:lblOffset val="100"/>
        <c:noMultiLvlLbl val="0"/>
      </c:catAx>
      <c:valAx>
        <c:axId val="565441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平均在庫件数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251931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18</xdr:col>
      <xdr:colOff>186840</xdr:colOff>
      <xdr:row>23</xdr:row>
      <xdr:rowOff>128520</xdr:rowOff>
    </xdr:to>
    <xdr:graphicFrame>
      <xdr:nvGraphicFramePr>
        <xdr:cNvPr id="1" name="Chart 1"/>
        <xdr:cNvGraphicFramePr/>
      </xdr:nvGraphicFramePr>
      <xdr:xfrm>
        <a:off x="5474880" y="217800"/>
        <a:ext cx="93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15</xdr:col>
      <xdr:colOff>581760</xdr:colOff>
      <xdr:row>19</xdr:row>
      <xdr:rowOff>170640</xdr:rowOff>
    </xdr:to>
    <xdr:graphicFrame>
      <xdr:nvGraphicFramePr>
        <xdr:cNvPr id="2" name="Chart 1"/>
        <xdr:cNvGraphicFramePr/>
      </xdr:nvGraphicFramePr>
      <xdr:xfrm>
        <a:off x="2585160" y="19044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5"/>
  </cols>
  <sheetData>
    <row r="1" customFormat="false" ht="17.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n">
        <v>46285</v>
      </c>
      <c r="B2" s="3" t="n">
        <v>6</v>
      </c>
    </row>
    <row r="3" customFormat="false" ht="15" hidden="false" customHeight="false" outlineLevel="0" collapsed="false">
      <c r="A3" s="2" t="n">
        <v>46286</v>
      </c>
      <c r="B3" s="3" t="n">
        <v>102</v>
      </c>
    </row>
    <row r="4" customFormat="false" ht="15" hidden="false" customHeight="false" outlineLevel="0" collapsed="false">
      <c r="A4" s="2" t="n">
        <v>46287</v>
      </c>
      <c r="B4" s="3" t="n">
        <v>261</v>
      </c>
    </row>
    <row r="5" customFormat="false" ht="15" hidden="false" customHeight="false" outlineLevel="0" collapsed="false">
      <c r="A5" s="2" t="n">
        <v>46288</v>
      </c>
      <c r="B5" s="3" t="n">
        <v>446</v>
      </c>
    </row>
    <row r="6" customFormat="false" ht="15" hidden="false" customHeight="false" outlineLevel="0" collapsed="false">
      <c r="A6" s="2" t="n">
        <v>46289</v>
      </c>
      <c r="B6" s="3" t="n">
        <v>419</v>
      </c>
    </row>
    <row r="7" customFormat="false" ht="15" hidden="false" customHeight="false" outlineLevel="0" collapsed="false">
      <c r="A7" s="2" t="n">
        <v>46290</v>
      </c>
      <c r="B7" s="3" t="n">
        <v>385</v>
      </c>
    </row>
    <row r="8" customFormat="false" ht="15" hidden="false" customHeight="false" outlineLevel="0" collapsed="false">
      <c r="A8" s="2" t="n">
        <v>46291</v>
      </c>
      <c r="B8" s="3" t="n">
        <v>352</v>
      </c>
    </row>
    <row r="9" customFormat="false" ht="15" hidden="false" customHeight="false" outlineLevel="0" collapsed="false">
      <c r="A9" s="2" t="n">
        <v>46292</v>
      </c>
      <c r="B9" s="3" t="n">
        <v>449</v>
      </c>
    </row>
    <row r="10" customFormat="false" ht="15" hidden="false" customHeight="false" outlineLevel="0" collapsed="false">
      <c r="A10" s="2" t="n">
        <v>46293</v>
      </c>
      <c r="B10" s="3" t="n">
        <v>444</v>
      </c>
    </row>
    <row r="11" customFormat="false" ht="15" hidden="false" customHeight="false" outlineLevel="0" collapsed="false">
      <c r="A11" s="2" t="n">
        <v>46294</v>
      </c>
      <c r="B11" s="3" t="n">
        <v>419</v>
      </c>
    </row>
    <row r="12" customFormat="false" ht="15" hidden="false" customHeight="false" outlineLevel="0" collapsed="false">
      <c r="A12" s="2" t="n">
        <v>46295</v>
      </c>
      <c r="B12" s="3" t="n">
        <v>379</v>
      </c>
    </row>
    <row r="13" customFormat="false" ht="15" hidden="false" customHeight="false" outlineLevel="0" collapsed="false">
      <c r="A13" s="2" t="n">
        <v>46296</v>
      </c>
      <c r="B13" s="3" t="n">
        <v>281</v>
      </c>
    </row>
    <row r="14" customFormat="false" ht="15" hidden="false" customHeight="false" outlineLevel="0" collapsed="false">
      <c r="A14" s="2" t="n">
        <v>46297</v>
      </c>
      <c r="B14" s="3" t="n">
        <v>209</v>
      </c>
    </row>
    <row r="15" customFormat="false" ht="15" hidden="false" customHeight="false" outlineLevel="0" collapsed="false">
      <c r="A15" s="2" t="n">
        <v>46298</v>
      </c>
      <c r="B15" s="3" t="n">
        <v>130</v>
      </c>
    </row>
    <row r="16" customFormat="false" ht="15" hidden="false" customHeight="false" outlineLevel="0" collapsed="false">
      <c r="A16" s="2" t="n">
        <v>46299</v>
      </c>
      <c r="B16" s="3" t="n">
        <v>216</v>
      </c>
    </row>
    <row r="17" customFormat="false" ht="15" hidden="false" customHeight="false" outlineLevel="0" collapsed="false">
      <c r="A17" s="2" t="n">
        <v>46300</v>
      </c>
      <c r="B17" s="3" t="n">
        <v>230</v>
      </c>
    </row>
    <row r="18" customFormat="false" ht="15" hidden="false" customHeight="false" outlineLevel="0" collapsed="false">
      <c r="A18" s="2" t="n">
        <v>46301</v>
      </c>
      <c r="B18" s="3" t="n">
        <v>277</v>
      </c>
    </row>
    <row r="19" customFormat="false" ht="15" hidden="false" customHeight="false" outlineLevel="0" collapsed="false">
      <c r="A19" s="2" t="n">
        <v>46302</v>
      </c>
      <c r="B19" s="3" t="n">
        <v>298</v>
      </c>
    </row>
    <row r="20" customFormat="false" ht="15" hidden="false" customHeight="false" outlineLevel="0" collapsed="false">
      <c r="A20" s="2" t="n">
        <v>46303</v>
      </c>
      <c r="B20" s="3" t="n">
        <v>249</v>
      </c>
    </row>
    <row r="21" customFormat="false" ht="15" hidden="false" customHeight="false" outlineLevel="0" collapsed="false">
      <c r="A21" s="2" t="n">
        <v>46304</v>
      </c>
      <c r="B21" s="3" t="n">
        <v>228</v>
      </c>
    </row>
    <row r="22" customFormat="false" ht="15" hidden="false" customHeight="false" outlineLevel="0" collapsed="false">
      <c r="A22" s="2" t="n">
        <v>46305</v>
      </c>
      <c r="B22" s="3" t="n">
        <v>118</v>
      </c>
    </row>
    <row r="23" customFormat="false" ht="15" hidden="false" customHeight="false" outlineLevel="0" collapsed="false">
      <c r="A23" s="2" t="n">
        <v>46306</v>
      </c>
      <c r="B23" s="3" t="n">
        <v>161</v>
      </c>
    </row>
    <row r="24" customFormat="false" ht="15" hidden="false" customHeight="false" outlineLevel="0" collapsed="false">
      <c r="A24" s="2" t="n">
        <v>46307</v>
      </c>
      <c r="B24" s="3" t="n">
        <v>276</v>
      </c>
    </row>
    <row r="25" customFormat="false" ht="15" hidden="false" customHeight="false" outlineLevel="0" collapsed="false">
      <c r="A25" s="2" t="n">
        <v>46308</v>
      </c>
      <c r="B25" s="3" t="n">
        <v>285</v>
      </c>
    </row>
    <row r="26" customFormat="false" ht="15" hidden="false" customHeight="false" outlineLevel="0" collapsed="false">
      <c r="A26" s="2" t="n">
        <v>46309</v>
      </c>
      <c r="B26" s="3" t="n">
        <v>302</v>
      </c>
    </row>
    <row r="27" customFormat="false" ht="15" hidden="false" customHeight="false" outlineLevel="0" collapsed="false">
      <c r="A27" s="2" t="n">
        <v>46310</v>
      </c>
      <c r="B27" s="3" t="n">
        <v>239</v>
      </c>
    </row>
    <row r="28" customFormat="false" ht="15" hidden="false" customHeight="false" outlineLevel="0" collapsed="false">
      <c r="A28" s="2" t="n">
        <v>46311</v>
      </c>
      <c r="B28" s="3" t="n">
        <v>214</v>
      </c>
    </row>
    <row r="29" customFormat="false" ht="15" hidden="false" customHeight="false" outlineLevel="0" collapsed="false">
      <c r="A29" s="2" t="n">
        <v>46312</v>
      </c>
      <c r="B29" s="3" t="n">
        <v>188</v>
      </c>
    </row>
    <row r="30" customFormat="false" ht="15" hidden="false" customHeight="false" outlineLevel="0" collapsed="false">
      <c r="A30" s="2" t="n">
        <v>46313</v>
      </c>
      <c r="B30" s="3" t="n">
        <v>276</v>
      </c>
    </row>
    <row r="31" customFormat="false" ht="15" hidden="false" customHeight="false" outlineLevel="0" collapsed="false">
      <c r="A31" s="2" t="n">
        <v>46314</v>
      </c>
      <c r="B31" s="3" t="n">
        <v>272</v>
      </c>
    </row>
    <row r="32" customFormat="false" ht="15" hidden="false" customHeight="false" outlineLevel="0" collapsed="false">
      <c r="A32" s="2" t="n">
        <v>46315</v>
      </c>
      <c r="B32" s="3" t="n">
        <v>299</v>
      </c>
    </row>
    <row r="33" customFormat="false" ht="15" hidden="false" customHeight="false" outlineLevel="0" collapsed="false">
      <c r="A33" s="2" t="n">
        <v>46316</v>
      </c>
      <c r="B33" s="3" t="n">
        <v>272</v>
      </c>
    </row>
    <row r="34" customFormat="false" ht="15" hidden="false" customHeight="false" outlineLevel="0" collapsed="false">
      <c r="A34" s="2" t="n">
        <v>46317</v>
      </c>
      <c r="B34" s="3" t="n">
        <v>236</v>
      </c>
    </row>
    <row r="35" customFormat="false" ht="15" hidden="false" customHeight="false" outlineLevel="0" collapsed="false">
      <c r="A35" s="2" t="n">
        <v>46318</v>
      </c>
      <c r="B35" s="3" t="n">
        <v>223</v>
      </c>
    </row>
    <row r="36" customFormat="false" ht="15" hidden="false" customHeight="false" outlineLevel="0" collapsed="false">
      <c r="A36" s="2" t="n">
        <v>46319</v>
      </c>
      <c r="B36" s="3" t="n">
        <v>184</v>
      </c>
    </row>
    <row r="37" customFormat="false" ht="15" hidden="false" customHeight="false" outlineLevel="0" collapsed="false">
      <c r="A37" s="2" t="n">
        <v>46320</v>
      </c>
      <c r="B37" s="3" t="n">
        <v>245</v>
      </c>
    </row>
    <row r="38" customFormat="false" ht="15" hidden="false" customHeight="false" outlineLevel="0" collapsed="false">
      <c r="A38" s="2" t="n">
        <v>46321</v>
      </c>
      <c r="B38" s="3" t="n">
        <v>257</v>
      </c>
    </row>
    <row r="39" customFormat="false" ht="15" hidden="false" customHeight="false" outlineLevel="0" collapsed="false">
      <c r="A39" s="2" t="n">
        <v>46322</v>
      </c>
      <c r="B39" s="3" t="n">
        <v>297</v>
      </c>
    </row>
    <row r="40" customFormat="false" ht="15" hidden="false" customHeight="false" outlineLevel="0" collapsed="false">
      <c r="A40" s="2" t="n">
        <v>46323</v>
      </c>
      <c r="B40" s="3" t="n">
        <v>290</v>
      </c>
    </row>
    <row r="41" customFormat="false" ht="15" hidden="false" customHeight="false" outlineLevel="0" collapsed="false">
      <c r="A41" s="2" t="n">
        <v>46324</v>
      </c>
      <c r="B41" s="3" t="n">
        <v>252</v>
      </c>
    </row>
    <row r="42" customFormat="false" ht="15" hidden="false" customHeight="false" outlineLevel="0" collapsed="false">
      <c r="A42" s="2" t="n">
        <v>46325</v>
      </c>
      <c r="B42" s="3" t="n">
        <v>233</v>
      </c>
    </row>
    <row r="43" customFormat="false" ht="15" hidden="false" customHeight="false" outlineLevel="0" collapsed="false">
      <c r="A43" s="2" t="n">
        <v>46326</v>
      </c>
      <c r="B43" s="3" t="n">
        <v>222</v>
      </c>
    </row>
    <row r="44" customFormat="false" ht="15" hidden="false" customHeight="false" outlineLevel="0" collapsed="false">
      <c r="A44" s="2" t="n">
        <v>46327</v>
      </c>
      <c r="B44" s="3" t="n">
        <v>298</v>
      </c>
    </row>
    <row r="45" customFormat="false" ht="15" hidden="false" customHeight="false" outlineLevel="0" collapsed="false">
      <c r="A45" s="2" t="n">
        <v>46328</v>
      </c>
      <c r="B45" s="3" t="n">
        <v>340</v>
      </c>
    </row>
    <row r="46" customFormat="false" ht="15" hidden="false" customHeight="false" outlineLevel="0" collapsed="false">
      <c r="A46" s="2" t="n">
        <v>46329</v>
      </c>
      <c r="B46" s="3" t="n">
        <v>343</v>
      </c>
    </row>
    <row r="47" customFormat="false" ht="15" hidden="false" customHeight="false" outlineLevel="0" collapsed="false">
      <c r="A47" s="2" t="n">
        <v>46330</v>
      </c>
      <c r="B47" s="3" t="n">
        <v>346</v>
      </c>
    </row>
    <row r="48" customFormat="false" ht="15" hidden="false" customHeight="false" outlineLevel="0" collapsed="false">
      <c r="A48" s="2" t="n">
        <v>46331</v>
      </c>
      <c r="B48" s="3" t="n">
        <v>329</v>
      </c>
    </row>
    <row r="49" customFormat="false" ht="15" hidden="false" customHeight="false" outlineLevel="0" collapsed="false">
      <c r="A49" s="2" t="n">
        <v>46332</v>
      </c>
      <c r="B49" s="3" t="n">
        <v>295</v>
      </c>
    </row>
    <row r="50" customFormat="false" ht="15" hidden="false" customHeight="false" outlineLevel="0" collapsed="false">
      <c r="A50" s="2" t="n">
        <v>46333</v>
      </c>
      <c r="B50" s="3" t="n">
        <v>252</v>
      </c>
    </row>
    <row r="51" customFormat="false" ht="15" hidden="false" customHeight="false" outlineLevel="0" collapsed="false">
      <c r="A51" s="2" t="n">
        <v>46334</v>
      </c>
      <c r="B51" s="3" t="n">
        <v>321</v>
      </c>
    </row>
    <row r="52" customFormat="false" ht="15" hidden="false" customHeight="false" outlineLevel="0" collapsed="false">
      <c r="A52" s="2" t="n">
        <v>46335</v>
      </c>
      <c r="B52" s="3" t="n">
        <v>352</v>
      </c>
    </row>
    <row r="53" customFormat="false" ht="15" hidden="false" customHeight="false" outlineLevel="0" collapsed="false">
      <c r="A53" s="2" t="n">
        <v>46336</v>
      </c>
      <c r="B53" s="3" t="n">
        <v>358</v>
      </c>
    </row>
    <row r="54" customFormat="false" ht="15" hidden="false" customHeight="false" outlineLevel="0" collapsed="false">
      <c r="A54" s="2" t="n">
        <v>46337</v>
      </c>
      <c r="B54" s="3" t="n">
        <v>357</v>
      </c>
    </row>
    <row r="55" customFormat="false" ht="15" hidden="false" customHeight="false" outlineLevel="0" collapsed="false">
      <c r="A55" s="2" t="n">
        <v>46338</v>
      </c>
      <c r="B55" s="3" t="n">
        <v>327</v>
      </c>
    </row>
    <row r="56" customFormat="false" ht="15" hidden="false" customHeight="false" outlineLevel="0" collapsed="false">
      <c r="A56" s="2" t="n">
        <v>46339</v>
      </c>
      <c r="B56" s="3" t="n">
        <v>329</v>
      </c>
    </row>
    <row r="57" customFormat="false" ht="15" hidden="false" customHeight="false" outlineLevel="0" collapsed="false">
      <c r="A57" s="2" t="n">
        <v>46340</v>
      </c>
      <c r="B57" s="3" t="n">
        <v>300</v>
      </c>
    </row>
    <row r="58" customFormat="false" ht="15" hidden="false" customHeight="false" outlineLevel="0" collapsed="false">
      <c r="A58" s="2" t="n">
        <v>46341</v>
      </c>
      <c r="B58" s="3" t="n">
        <v>349</v>
      </c>
    </row>
    <row r="59" customFormat="false" ht="15" hidden="false" customHeight="false" outlineLevel="0" collapsed="false">
      <c r="A59" s="2" t="n">
        <v>46342</v>
      </c>
      <c r="B59" s="3" t="n">
        <v>375</v>
      </c>
    </row>
    <row r="60" customFormat="false" ht="15" hidden="false" customHeight="false" outlineLevel="0" collapsed="false">
      <c r="A60" s="2" t="n">
        <v>46343</v>
      </c>
      <c r="B60" s="3" t="n">
        <v>394</v>
      </c>
    </row>
    <row r="61" customFormat="false" ht="15" hidden="false" customHeight="false" outlineLevel="0" collapsed="false">
      <c r="A61" s="2" t="n">
        <v>46344</v>
      </c>
      <c r="B61" s="3" t="n">
        <v>371</v>
      </c>
    </row>
    <row r="62" customFormat="false" ht="15" hidden="false" customHeight="false" outlineLevel="0" collapsed="false">
      <c r="A62" s="2" t="n">
        <v>46345</v>
      </c>
      <c r="B62" s="3" t="n">
        <v>321</v>
      </c>
    </row>
    <row r="63" customFormat="false" ht="15" hidden="false" customHeight="false" outlineLevel="0" collapsed="false">
      <c r="A63" s="2" t="n">
        <v>46346</v>
      </c>
      <c r="B63" s="3" t="n">
        <v>297</v>
      </c>
    </row>
    <row r="64" customFormat="false" ht="15" hidden="false" customHeight="false" outlineLevel="0" collapsed="false">
      <c r="A64" s="2" t="n">
        <v>46347</v>
      </c>
      <c r="B64" s="3" t="n">
        <v>233</v>
      </c>
    </row>
    <row r="65" customFormat="false" ht="15" hidden="false" customHeight="false" outlineLevel="0" collapsed="false">
      <c r="A65" s="2" t="n">
        <v>46348</v>
      </c>
      <c r="B65" s="3" t="n">
        <v>257</v>
      </c>
    </row>
    <row r="66" customFormat="false" ht="15" hidden="false" customHeight="false" outlineLevel="0" collapsed="false">
      <c r="A66" s="2" t="n">
        <v>46349</v>
      </c>
      <c r="B66" s="3" t="n">
        <v>331</v>
      </c>
    </row>
    <row r="67" customFormat="false" ht="15" hidden="false" customHeight="false" outlineLevel="0" collapsed="false">
      <c r="A67" s="2" t="n">
        <v>46350</v>
      </c>
      <c r="B67" s="3" t="n">
        <v>350</v>
      </c>
    </row>
    <row r="68" customFormat="false" ht="15" hidden="false" customHeight="false" outlineLevel="0" collapsed="false">
      <c r="A68" s="2" t="n">
        <v>46351</v>
      </c>
      <c r="B68" s="3" t="n">
        <v>374</v>
      </c>
    </row>
    <row r="69" customFormat="false" ht="15" hidden="false" customHeight="false" outlineLevel="0" collapsed="false">
      <c r="A69" s="2" t="n">
        <v>46352</v>
      </c>
      <c r="B69" s="3" t="n">
        <v>370</v>
      </c>
    </row>
    <row r="70" customFormat="false" ht="15" hidden="false" customHeight="false" outlineLevel="0" collapsed="false">
      <c r="A70" s="2" t="n">
        <v>46353</v>
      </c>
      <c r="B70" s="3" t="n">
        <v>345</v>
      </c>
    </row>
    <row r="71" customFormat="false" ht="15" hidden="false" customHeight="false" outlineLevel="0" collapsed="false">
      <c r="A71" s="2" t="n">
        <v>46354</v>
      </c>
      <c r="B71" s="3" t="n">
        <v>338</v>
      </c>
    </row>
    <row r="72" customFormat="false" ht="15" hidden="false" customHeight="false" outlineLevel="0" collapsed="false">
      <c r="A72" s="2" t="n">
        <v>46355</v>
      </c>
      <c r="B72" s="3" t="n">
        <v>412</v>
      </c>
    </row>
    <row r="73" customFormat="false" ht="15" hidden="false" customHeight="false" outlineLevel="0" collapsed="false">
      <c r="A73" s="2" t="n">
        <v>46356</v>
      </c>
      <c r="B73" s="3" t="n">
        <v>448</v>
      </c>
    </row>
    <row r="74" customFormat="false" ht="15" hidden="false" customHeight="false" outlineLevel="0" collapsed="false">
      <c r="A74" s="2" t="n">
        <v>46357</v>
      </c>
      <c r="B74" s="3" t="n">
        <v>450</v>
      </c>
    </row>
    <row r="75" customFormat="false" ht="15" hidden="false" customHeight="false" outlineLevel="0" collapsed="false">
      <c r="A75" s="2" t="n">
        <v>46358</v>
      </c>
      <c r="B75" s="3" t="n">
        <v>437</v>
      </c>
    </row>
    <row r="76" customFormat="false" ht="15" hidden="false" customHeight="false" outlineLevel="0" collapsed="false">
      <c r="A76" s="2" t="n">
        <v>46359</v>
      </c>
      <c r="B76" s="3" t="n">
        <v>419</v>
      </c>
    </row>
    <row r="77" customFormat="false" ht="15" hidden="false" customHeight="false" outlineLevel="0" collapsed="false">
      <c r="A77" s="2" t="n">
        <v>46360</v>
      </c>
      <c r="B77" s="3" t="n">
        <v>411</v>
      </c>
    </row>
    <row r="78" customFormat="false" ht="15" hidden="false" customHeight="false" outlineLevel="0" collapsed="false">
      <c r="A78" s="2" t="n">
        <v>46361</v>
      </c>
      <c r="B78" s="3" t="n">
        <v>424</v>
      </c>
    </row>
    <row r="79" customFormat="false" ht="15" hidden="false" customHeight="false" outlineLevel="0" collapsed="false">
      <c r="A79" s="2" t="n">
        <v>46362</v>
      </c>
      <c r="B79" s="3" t="n">
        <v>471</v>
      </c>
    </row>
    <row r="80" customFormat="false" ht="15" hidden="false" customHeight="false" outlineLevel="0" collapsed="false">
      <c r="A80" s="2" t="n">
        <v>46363</v>
      </c>
      <c r="B80" s="3" t="n">
        <v>496</v>
      </c>
    </row>
    <row r="81" customFormat="false" ht="15" hidden="false" customHeight="false" outlineLevel="0" collapsed="false">
      <c r="A81" s="2" t="n">
        <v>46364</v>
      </c>
      <c r="B81" s="3" t="n">
        <v>489</v>
      </c>
    </row>
    <row r="82" customFormat="false" ht="15" hidden="false" customHeight="false" outlineLevel="0" collapsed="false">
      <c r="A82" s="2" t="n">
        <v>46365</v>
      </c>
      <c r="B82" s="3" t="n">
        <v>491</v>
      </c>
    </row>
    <row r="83" customFormat="false" ht="15" hidden="false" customHeight="false" outlineLevel="0" collapsed="false">
      <c r="A83" s="2" t="n">
        <v>46366</v>
      </c>
      <c r="B83" s="3" t="n">
        <v>466</v>
      </c>
    </row>
    <row r="84" customFormat="false" ht="15" hidden="false" customHeight="false" outlineLevel="0" collapsed="false">
      <c r="A84" s="2" t="n">
        <v>46367</v>
      </c>
      <c r="B84" s="3" t="n">
        <v>453</v>
      </c>
    </row>
    <row r="85" customFormat="false" ht="15" hidden="false" customHeight="false" outlineLevel="0" collapsed="false">
      <c r="A85" s="2" t="n">
        <v>46368</v>
      </c>
      <c r="B85" s="3" t="n">
        <v>440</v>
      </c>
    </row>
    <row r="86" customFormat="false" ht="15" hidden="false" customHeight="false" outlineLevel="0" collapsed="false">
      <c r="A86" s="2" t="n">
        <v>46369</v>
      </c>
      <c r="B86" s="3" t="n">
        <v>468</v>
      </c>
    </row>
    <row r="87" customFormat="false" ht="15" hidden="false" customHeight="false" outlineLevel="0" collapsed="false">
      <c r="A87" s="2" t="n">
        <v>46370</v>
      </c>
      <c r="B87" s="3" t="n">
        <v>477</v>
      </c>
    </row>
    <row r="88" customFormat="false" ht="15" hidden="false" customHeight="false" outlineLevel="0" collapsed="false">
      <c r="A88" s="2" t="n">
        <v>46371</v>
      </c>
      <c r="B88" s="3" t="n">
        <v>473</v>
      </c>
    </row>
    <row r="89" customFormat="false" ht="15" hidden="false" customHeight="false" outlineLevel="0" collapsed="false">
      <c r="A89" s="2" t="n">
        <v>46372</v>
      </c>
      <c r="B89" s="3" t="n">
        <v>457</v>
      </c>
    </row>
    <row r="90" customFormat="false" ht="15" hidden="false" customHeight="false" outlineLevel="0" collapsed="false">
      <c r="A90" s="2" t="n">
        <v>46373</v>
      </c>
      <c r="B90" s="3" t="n">
        <v>466</v>
      </c>
    </row>
    <row r="91" customFormat="false" ht="15" hidden="false" customHeight="false" outlineLevel="0" collapsed="false">
      <c r="A91" s="2" t="n">
        <v>46374</v>
      </c>
      <c r="B91" s="3" t="n">
        <v>454</v>
      </c>
    </row>
    <row r="92" customFormat="false" ht="15" hidden="false" customHeight="false" outlineLevel="0" collapsed="false">
      <c r="A92" s="2" t="n">
        <v>46375</v>
      </c>
      <c r="B92" s="3" t="n">
        <v>407</v>
      </c>
    </row>
    <row r="93" customFormat="false" ht="15" hidden="false" customHeight="false" outlineLevel="0" collapsed="false">
      <c r="A93" s="2" t="n">
        <v>46376</v>
      </c>
      <c r="B93" s="3" t="n">
        <v>424</v>
      </c>
    </row>
    <row r="94" customFormat="false" ht="15" hidden="false" customHeight="false" outlineLevel="0" collapsed="false">
      <c r="A94" s="2" t="n">
        <v>46377</v>
      </c>
      <c r="B94" s="3" t="n">
        <v>418</v>
      </c>
    </row>
    <row r="95" customFormat="false" ht="15" hidden="false" customHeight="false" outlineLevel="0" collapsed="false">
      <c r="A95" s="2" t="n">
        <v>46378</v>
      </c>
      <c r="B95" s="3" t="n">
        <v>424</v>
      </c>
    </row>
    <row r="96" customFormat="false" ht="15" hidden="false" customHeight="false" outlineLevel="0" collapsed="false">
      <c r="A96" s="2" t="n">
        <v>46379</v>
      </c>
      <c r="B96" s="3" t="n">
        <v>403</v>
      </c>
    </row>
    <row r="97" customFormat="false" ht="15" hidden="false" customHeight="false" outlineLevel="0" collapsed="false">
      <c r="A97" s="2" t="n">
        <v>46380</v>
      </c>
      <c r="B97" s="3" t="n">
        <v>384</v>
      </c>
    </row>
    <row r="98" customFormat="false" ht="15" hidden="false" customHeight="false" outlineLevel="0" collapsed="false">
      <c r="A98" s="2" t="n">
        <v>46381</v>
      </c>
      <c r="B98" s="3" t="n">
        <v>358</v>
      </c>
    </row>
    <row r="99" customFormat="false" ht="15" hidden="false" customHeight="false" outlineLevel="0" collapsed="false">
      <c r="A99" s="2" t="n">
        <v>46382</v>
      </c>
      <c r="B99" s="3" t="n">
        <v>326</v>
      </c>
    </row>
    <row r="100" customFormat="false" ht="15" hidden="false" customHeight="false" outlineLevel="0" collapsed="false">
      <c r="A100" s="2" t="n">
        <v>46383</v>
      </c>
      <c r="B100" s="3" t="n">
        <v>319</v>
      </c>
    </row>
    <row r="101" customFormat="false" ht="15" hidden="false" customHeight="false" outlineLevel="0" collapsed="false">
      <c r="A101" s="2" t="n">
        <v>46384</v>
      </c>
      <c r="B101" s="3" t="n">
        <v>289</v>
      </c>
    </row>
    <row r="102" customFormat="false" ht="15" hidden="false" customHeight="false" outlineLevel="0" collapsed="false">
      <c r="A102" s="2" t="n">
        <v>46385</v>
      </c>
      <c r="B102" s="3" t="n">
        <v>275</v>
      </c>
    </row>
    <row r="103" customFormat="false" ht="15" hidden="false" customHeight="false" outlineLevel="0" collapsed="false">
      <c r="A103" s="2" t="n">
        <v>46386</v>
      </c>
      <c r="B103" s="3" t="n">
        <v>258</v>
      </c>
    </row>
    <row r="104" customFormat="false" ht="15" hidden="false" customHeight="false" outlineLevel="0" collapsed="false">
      <c r="A104" s="2" t="n">
        <v>46387</v>
      </c>
      <c r="B104" s="3" t="n">
        <v>244</v>
      </c>
    </row>
    <row r="105" customFormat="false" ht="15" hidden="false" customHeight="false" outlineLevel="0" collapsed="false">
      <c r="A105" s="2" t="n">
        <v>46388</v>
      </c>
      <c r="B105" s="3" t="n">
        <v>300</v>
      </c>
    </row>
    <row r="106" customFormat="false" ht="15" hidden="false" customHeight="false" outlineLevel="0" collapsed="false">
      <c r="A106" s="2" t="n">
        <v>46389</v>
      </c>
      <c r="B106" s="3" t="n">
        <v>380</v>
      </c>
    </row>
    <row r="107" customFormat="false" ht="15" hidden="false" customHeight="false" outlineLevel="0" collapsed="false">
      <c r="A107" s="2" t="n">
        <v>46390</v>
      </c>
      <c r="B107" s="3" t="n">
        <v>458</v>
      </c>
    </row>
    <row r="108" customFormat="false" ht="15" hidden="false" customHeight="false" outlineLevel="0" collapsed="false">
      <c r="A108" s="2" t="n">
        <v>46391</v>
      </c>
      <c r="B108" s="3" t="n">
        <v>501</v>
      </c>
    </row>
    <row r="109" customFormat="false" ht="15" hidden="false" customHeight="false" outlineLevel="0" collapsed="false">
      <c r="A109" s="2" t="n">
        <v>46392</v>
      </c>
      <c r="B109" s="3" t="n">
        <v>530</v>
      </c>
    </row>
    <row r="110" customFormat="false" ht="15" hidden="false" customHeight="false" outlineLevel="0" collapsed="false">
      <c r="A110" s="2" t="n">
        <v>46393</v>
      </c>
      <c r="B110" s="3" t="n">
        <v>524</v>
      </c>
    </row>
    <row r="111" customFormat="false" ht="15" hidden="false" customHeight="false" outlineLevel="0" collapsed="false">
      <c r="A111" s="2" t="n">
        <v>46394</v>
      </c>
      <c r="B111" s="3" t="n">
        <v>515</v>
      </c>
    </row>
    <row r="112" customFormat="false" ht="15" hidden="false" customHeight="false" outlineLevel="0" collapsed="false">
      <c r="A112" s="2" t="n">
        <v>46395</v>
      </c>
      <c r="B112" s="3" t="n">
        <v>517</v>
      </c>
    </row>
    <row r="113" customFormat="false" ht="15" hidden="false" customHeight="false" outlineLevel="0" collapsed="false">
      <c r="A113" s="2" t="n">
        <v>46396</v>
      </c>
      <c r="B113" s="3" t="n">
        <v>505</v>
      </c>
    </row>
    <row r="114" customFormat="false" ht="15" hidden="false" customHeight="false" outlineLevel="0" collapsed="false">
      <c r="A114" s="2" t="n">
        <v>46397</v>
      </c>
      <c r="B114" s="3" t="n">
        <v>524</v>
      </c>
    </row>
    <row r="115" customFormat="false" ht="15" hidden="false" customHeight="false" outlineLevel="0" collapsed="false">
      <c r="A115" s="2" t="n">
        <v>46398</v>
      </c>
      <c r="B115" s="3" t="n">
        <v>549</v>
      </c>
    </row>
    <row r="116" customFormat="false" ht="15" hidden="false" customHeight="false" outlineLevel="0" collapsed="false">
      <c r="A116" s="2" t="n">
        <v>46399</v>
      </c>
      <c r="B116" s="3" t="n">
        <v>545</v>
      </c>
    </row>
    <row r="117" customFormat="false" ht="15" hidden="false" customHeight="false" outlineLevel="0" collapsed="false">
      <c r="A117" s="2" t="n">
        <v>46400</v>
      </c>
      <c r="B117" s="3" t="n">
        <v>555</v>
      </c>
    </row>
    <row r="118" customFormat="false" ht="15" hidden="false" customHeight="false" outlineLevel="0" collapsed="false">
      <c r="A118" s="2" t="n">
        <v>46401</v>
      </c>
      <c r="B118" s="3" t="n">
        <v>546</v>
      </c>
    </row>
    <row r="119" customFormat="false" ht="15" hidden="false" customHeight="false" outlineLevel="0" collapsed="false">
      <c r="A119" s="2" t="n">
        <v>46402</v>
      </c>
      <c r="B119" s="3" t="n">
        <v>534</v>
      </c>
    </row>
    <row r="120" customFormat="false" ht="15" hidden="false" customHeight="false" outlineLevel="0" collapsed="false">
      <c r="A120" s="2" t="n">
        <v>46403</v>
      </c>
      <c r="B120" s="3" t="n">
        <v>519</v>
      </c>
    </row>
    <row r="121" customFormat="false" ht="15" hidden="false" customHeight="false" outlineLevel="0" collapsed="false">
      <c r="A121" s="2" t="n">
        <v>46404</v>
      </c>
      <c r="B121" s="3" t="n">
        <v>557</v>
      </c>
    </row>
    <row r="122" customFormat="false" ht="15" hidden="false" customHeight="false" outlineLevel="0" collapsed="false">
      <c r="A122" s="2" t="n">
        <v>46405</v>
      </c>
      <c r="B122" s="3" t="n">
        <v>556</v>
      </c>
    </row>
    <row r="123" customFormat="false" ht="15" hidden="false" customHeight="false" outlineLevel="0" collapsed="false">
      <c r="A123" s="2" t="n">
        <v>46406</v>
      </c>
      <c r="B123" s="3" t="n">
        <v>553</v>
      </c>
    </row>
    <row r="124" customFormat="false" ht="15" hidden="false" customHeight="false" outlineLevel="0" collapsed="false">
      <c r="A124" s="2" t="n">
        <v>46407</v>
      </c>
      <c r="B124" s="3" t="n">
        <v>570</v>
      </c>
    </row>
    <row r="125" customFormat="false" ht="15" hidden="false" customHeight="false" outlineLevel="0" collapsed="false">
      <c r="A125" s="2" t="n">
        <v>46408</v>
      </c>
      <c r="B125" s="3" t="n">
        <v>553</v>
      </c>
    </row>
    <row r="126" customFormat="false" ht="15" hidden="false" customHeight="false" outlineLevel="0" collapsed="false">
      <c r="A126" s="2" t="n">
        <v>46409</v>
      </c>
      <c r="B126" s="3" t="n">
        <v>542</v>
      </c>
    </row>
    <row r="127" customFormat="false" ht="15" hidden="false" customHeight="false" outlineLevel="0" collapsed="false">
      <c r="A127" s="2" t="n">
        <v>46410</v>
      </c>
      <c r="B127" s="3" t="n">
        <v>529</v>
      </c>
    </row>
    <row r="128" customFormat="false" ht="15" hidden="false" customHeight="false" outlineLevel="0" collapsed="false">
      <c r="A128" s="2" t="n">
        <v>46411</v>
      </c>
      <c r="B128" s="3" t="n">
        <v>557</v>
      </c>
    </row>
    <row r="129" customFormat="false" ht="15" hidden="false" customHeight="false" outlineLevel="0" collapsed="false">
      <c r="A129" s="2" t="n">
        <v>46412</v>
      </c>
      <c r="B129" s="3" t="n">
        <v>570</v>
      </c>
    </row>
    <row r="130" customFormat="false" ht="15" hidden="false" customHeight="false" outlineLevel="0" collapsed="false">
      <c r="A130" s="2" t="n">
        <v>46413</v>
      </c>
      <c r="B130" s="3" t="n">
        <v>567</v>
      </c>
    </row>
    <row r="131" customFormat="false" ht="15" hidden="false" customHeight="false" outlineLevel="0" collapsed="false">
      <c r="A131" s="2" t="n">
        <v>46414</v>
      </c>
      <c r="B131" s="3" t="n">
        <v>571</v>
      </c>
    </row>
    <row r="132" customFormat="false" ht="15" hidden="false" customHeight="false" outlineLevel="0" collapsed="false">
      <c r="A132" s="2" t="n">
        <v>46415</v>
      </c>
      <c r="B132" s="3" t="n">
        <v>568</v>
      </c>
    </row>
    <row r="133" customFormat="false" ht="15" hidden="false" customHeight="false" outlineLevel="0" collapsed="false">
      <c r="A133" s="2" t="n">
        <v>46416</v>
      </c>
      <c r="B133" s="3" t="n">
        <v>568</v>
      </c>
    </row>
    <row r="134" customFormat="false" ht="15" hidden="false" customHeight="false" outlineLevel="0" collapsed="false">
      <c r="A134" s="2" t="n">
        <v>46417</v>
      </c>
      <c r="B134" s="3" t="n">
        <v>559</v>
      </c>
    </row>
    <row r="135" customFormat="false" ht="15" hidden="false" customHeight="false" outlineLevel="0" collapsed="false">
      <c r="A135" s="2" t="n">
        <v>46418</v>
      </c>
      <c r="B135" s="3" t="n">
        <v>595</v>
      </c>
    </row>
    <row r="136" customFormat="false" ht="15" hidden="false" customHeight="false" outlineLevel="0" collapsed="false">
      <c r="A136" s="2" t="n">
        <v>46419</v>
      </c>
      <c r="B136" s="3" t="n">
        <v>595</v>
      </c>
    </row>
    <row r="137" customFormat="false" ht="15" hidden="false" customHeight="false" outlineLevel="0" collapsed="false">
      <c r="A137" s="2" t="n">
        <v>46420</v>
      </c>
      <c r="B137" s="3" t="n">
        <v>587</v>
      </c>
    </row>
    <row r="138" customFormat="false" ht="15" hidden="false" customHeight="false" outlineLevel="0" collapsed="false">
      <c r="A138" s="2" t="n">
        <v>46421</v>
      </c>
      <c r="B138" s="3" t="n">
        <v>588</v>
      </c>
    </row>
    <row r="139" customFormat="false" ht="15" hidden="false" customHeight="false" outlineLevel="0" collapsed="false">
      <c r="A139" s="2" t="n">
        <v>46422</v>
      </c>
      <c r="B139" s="3" t="n">
        <v>584</v>
      </c>
    </row>
    <row r="140" customFormat="false" ht="15" hidden="false" customHeight="false" outlineLevel="0" collapsed="false">
      <c r="A140" s="2" t="n">
        <v>46423</v>
      </c>
      <c r="B140" s="3" t="n">
        <v>567</v>
      </c>
    </row>
    <row r="141" customFormat="false" ht="15" hidden="false" customHeight="false" outlineLevel="0" collapsed="false">
      <c r="A141" s="2" t="n">
        <v>46424</v>
      </c>
      <c r="B141" s="3" t="n">
        <v>545</v>
      </c>
    </row>
    <row r="142" customFormat="false" ht="15" hidden="false" customHeight="false" outlineLevel="0" collapsed="false">
      <c r="A142" s="2" t="n">
        <v>46425</v>
      </c>
      <c r="B142" s="3" t="n">
        <v>556</v>
      </c>
    </row>
    <row r="143" customFormat="false" ht="15" hidden="false" customHeight="false" outlineLevel="0" collapsed="false">
      <c r="A143" s="2" t="n">
        <v>46426</v>
      </c>
      <c r="B143" s="3" t="n">
        <v>554</v>
      </c>
    </row>
    <row r="144" customFormat="false" ht="15" hidden="false" customHeight="false" outlineLevel="0" collapsed="false">
      <c r="A144" s="2" t="n">
        <v>46427</v>
      </c>
      <c r="B144" s="3" t="n">
        <v>572</v>
      </c>
    </row>
    <row r="145" customFormat="false" ht="15" hidden="false" customHeight="false" outlineLevel="0" collapsed="false">
      <c r="A145" s="2" t="n">
        <v>46428</v>
      </c>
      <c r="B145" s="3" t="n">
        <v>574</v>
      </c>
    </row>
    <row r="146" customFormat="false" ht="15" hidden="false" customHeight="false" outlineLevel="0" collapsed="false">
      <c r="A146" s="2" t="n">
        <v>46429</v>
      </c>
      <c r="B146" s="3" t="n">
        <v>562</v>
      </c>
    </row>
    <row r="147" customFormat="false" ht="15" hidden="false" customHeight="false" outlineLevel="0" collapsed="false">
      <c r="A147" s="2" t="n">
        <v>46430</v>
      </c>
      <c r="B147" s="3" t="n">
        <v>554</v>
      </c>
    </row>
    <row r="148" customFormat="false" ht="15" hidden="false" customHeight="false" outlineLevel="0" collapsed="false">
      <c r="A148" s="2" t="n">
        <v>46431</v>
      </c>
      <c r="B148" s="3" t="n">
        <v>554</v>
      </c>
    </row>
    <row r="149" customFormat="false" ht="15" hidden="false" customHeight="false" outlineLevel="0" collapsed="false">
      <c r="A149" s="2" t="n">
        <v>46432</v>
      </c>
      <c r="B149" s="3" t="n">
        <v>589</v>
      </c>
    </row>
    <row r="150" customFormat="false" ht="15" hidden="false" customHeight="false" outlineLevel="0" collapsed="false">
      <c r="A150" s="2" t="n">
        <v>46433</v>
      </c>
      <c r="B150" s="3" t="n">
        <v>594</v>
      </c>
    </row>
    <row r="151" customFormat="false" ht="15" hidden="false" customHeight="false" outlineLevel="0" collapsed="false">
      <c r="A151" s="2" t="n">
        <v>46434</v>
      </c>
      <c r="B151" s="3" t="n">
        <v>604</v>
      </c>
    </row>
    <row r="152" customFormat="false" ht="15" hidden="false" customHeight="false" outlineLevel="0" collapsed="false">
      <c r="A152" s="2" t="n">
        <v>46435</v>
      </c>
      <c r="B152" s="3" t="n">
        <v>595</v>
      </c>
    </row>
    <row r="153" customFormat="false" ht="15" hidden="false" customHeight="false" outlineLevel="0" collapsed="false">
      <c r="A153" s="2" t="n">
        <v>46436</v>
      </c>
      <c r="B153" s="3" t="n">
        <v>598</v>
      </c>
    </row>
    <row r="154" customFormat="false" ht="15" hidden="false" customHeight="false" outlineLevel="0" collapsed="false">
      <c r="A154" s="2" t="n">
        <v>46437</v>
      </c>
      <c r="B154" s="3" t="n">
        <v>586</v>
      </c>
    </row>
    <row r="155" customFormat="false" ht="15" hidden="false" customHeight="false" outlineLevel="0" collapsed="false">
      <c r="A155" s="2" t="n">
        <v>46438</v>
      </c>
      <c r="B155" s="3" t="n">
        <v>577</v>
      </c>
    </row>
    <row r="156" customFormat="false" ht="15" hidden="false" customHeight="false" outlineLevel="0" collapsed="false">
      <c r="A156" s="2" t="n">
        <v>46439</v>
      </c>
      <c r="B156" s="3" t="n">
        <v>614</v>
      </c>
    </row>
    <row r="157" customFormat="false" ht="15" hidden="false" customHeight="false" outlineLevel="0" collapsed="false">
      <c r="A157" s="2" t="n">
        <v>46440</v>
      </c>
      <c r="B157" s="3" t="n">
        <v>615</v>
      </c>
    </row>
    <row r="158" customFormat="false" ht="15" hidden="false" customHeight="false" outlineLevel="0" collapsed="false">
      <c r="A158" s="2" t="n">
        <v>46441</v>
      </c>
      <c r="B158" s="3" t="n">
        <v>610</v>
      </c>
    </row>
    <row r="159" customFormat="false" ht="15" hidden="false" customHeight="false" outlineLevel="0" collapsed="false">
      <c r="A159" s="2" t="n">
        <v>46442</v>
      </c>
      <c r="B159" s="3" t="n">
        <v>603</v>
      </c>
    </row>
    <row r="160" customFormat="false" ht="15" hidden="false" customHeight="false" outlineLevel="0" collapsed="false">
      <c r="A160" s="2" t="n">
        <v>46443</v>
      </c>
      <c r="B160" s="3" t="n">
        <v>606</v>
      </c>
    </row>
    <row r="161" customFormat="false" ht="15" hidden="false" customHeight="false" outlineLevel="0" collapsed="false">
      <c r="A161" s="2" t="n">
        <v>46444</v>
      </c>
      <c r="B161" s="3" t="n">
        <v>594</v>
      </c>
    </row>
    <row r="162" customFormat="false" ht="15" hidden="false" customHeight="false" outlineLevel="0" collapsed="false">
      <c r="A162" s="2" t="n">
        <v>46445</v>
      </c>
      <c r="B162" s="3" t="n">
        <v>583</v>
      </c>
    </row>
    <row r="163" customFormat="false" ht="15" hidden="false" customHeight="false" outlineLevel="0" collapsed="false">
      <c r="A163" s="2" t="n">
        <v>46446</v>
      </c>
      <c r="B163" s="3" t="n">
        <v>605</v>
      </c>
    </row>
    <row r="164" customFormat="false" ht="15" hidden="false" customHeight="false" outlineLevel="0" collapsed="false">
      <c r="A164" s="2" t="n">
        <v>46447</v>
      </c>
      <c r="B164" s="3" t="n">
        <v>586</v>
      </c>
    </row>
    <row r="165" customFormat="false" ht="15" hidden="false" customHeight="false" outlineLevel="0" collapsed="false">
      <c r="A165" s="2" t="n">
        <v>46448</v>
      </c>
      <c r="B165" s="3" t="n">
        <v>580</v>
      </c>
    </row>
    <row r="166" customFormat="false" ht="15" hidden="false" customHeight="false" outlineLevel="0" collapsed="false">
      <c r="A166" s="2" t="n">
        <v>46449</v>
      </c>
      <c r="B166" s="3" t="n">
        <v>574</v>
      </c>
    </row>
    <row r="167" customFormat="false" ht="15" hidden="false" customHeight="false" outlineLevel="0" collapsed="false">
      <c r="A167" s="2" t="n">
        <v>46450</v>
      </c>
      <c r="B167" s="3" t="n">
        <v>549</v>
      </c>
    </row>
    <row r="168" customFormat="false" ht="15" hidden="false" customHeight="false" outlineLevel="0" collapsed="false">
      <c r="A168" s="2" t="n">
        <v>46451</v>
      </c>
      <c r="B168" s="3" t="n">
        <v>521</v>
      </c>
    </row>
    <row r="169" customFormat="false" ht="15" hidden="false" customHeight="false" outlineLevel="0" collapsed="false">
      <c r="A169" s="2" t="n">
        <v>46452</v>
      </c>
      <c r="B169" s="3" t="n">
        <v>510</v>
      </c>
    </row>
    <row r="170" customFormat="false" ht="15" hidden="false" customHeight="false" outlineLevel="0" collapsed="false">
      <c r="A170" s="2" t="n">
        <v>46453</v>
      </c>
      <c r="B170" s="3" t="n">
        <v>525</v>
      </c>
    </row>
    <row r="171" customFormat="false" ht="15" hidden="false" customHeight="false" outlineLevel="0" collapsed="false">
      <c r="A171" s="2" t="n">
        <v>46454</v>
      </c>
      <c r="B171" s="3" t="n">
        <v>560</v>
      </c>
    </row>
    <row r="172" customFormat="false" ht="15" hidden="false" customHeight="false" outlineLevel="0" collapsed="false">
      <c r="A172" s="2" t="n">
        <v>46455</v>
      </c>
      <c r="B172" s="3" t="n">
        <v>556</v>
      </c>
    </row>
    <row r="173" customFormat="false" ht="15" hidden="false" customHeight="false" outlineLevel="0" collapsed="false">
      <c r="A173" s="2" t="n">
        <v>46456</v>
      </c>
      <c r="B173" s="3" t="n">
        <v>556</v>
      </c>
    </row>
    <row r="174" customFormat="false" ht="15" hidden="false" customHeight="false" outlineLevel="0" collapsed="false">
      <c r="A174" s="2" t="n">
        <v>46457</v>
      </c>
      <c r="B174" s="3" t="n">
        <v>550</v>
      </c>
    </row>
    <row r="175" customFormat="false" ht="15" hidden="false" customHeight="false" outlineLevel="0" collapsed="false">
      <c r="A175" s="2" t="n">
        <v>46458</v>
      </c>
      <c r="B175" s="3" t="n">
        <v>550</v>
      </c>
    </row>
    <row r="176" customFormat="false" ht="15" hidden="false" customHeight="false" outlineLevel="0" collapsed="false">
      <c r="A176" s="2" t="n">
        <v>46459</v>
      </c>
      <c r="B176" s="3" t="n">
        <v>541</v>
      </c>
    </row>
    <row r="177" customFormat="false" ht="15" hidden="false" customHeight="false" outlineLevel="0" collapsed="false">
      <c r="A177" s="2" t="n">
        <v>46460</v>
      </c>
      <c r="B177" s="3" t="n">
        <v>544</v>
      </c>
    </row>
    <row r="178" customFormat="false" ht="15" hidden="false" customHeight="false" outlineLevel="0" collapsed="false">
      <c r="A178" s="2" t="n">
        <v>46461</v>
      </c>
      <c r="B178" s="3" t="n">
        <v>558</v>
      </c>
    </row>
    <row r="179" customFormat="false" ht="15" hidden="false" customHeight="false" outlineLevel="0" collapsed="false">
      <c r="A179" s="2" t="n">
        <v>46462</v>
      </c>
      <c r="B179" s="3" t="n">
        <v>538</v>
      </c>
    </row>
    <row r="180" customFormat="false" ht="15" hidden="false" customHeight="false" outlineLevel="0" collapsed="false">
      <c r="A180" s="2" t="n">
        <v>46463</v>
      </c>
      <c r="B180" s="3" t="n">
        <v>542</v>
      </c>
    </row>
    <row r="181" customFormat="false" ht="15" hidden="false" customHeight="false" outlineLevel="0" collapsed="false">
      <c r="A181" s="2" t="n">
        <v>46464</v>
      </c>
      <c r="B181" s="3" t="n">
        <v>533</v>
      </c>
    </row>
    <row r="182" customFormat="false" ht="15" hidden="false" customHeight="false" outlineLevel="0" collapsed="false">
      <c r="A182" s="2" t="n">
        <v>46465</v>
      </c>
      <c r="B182" s="3" t="n">
        <v>443</v>
      </c>
    </row>
    <row r="183" customFormat="false" ht="15" hidden="false" customHeight="false" outlineLevel="0" collapsed="false">
      <c r="A183" s="2" t="n">
        <v>46466</v>
      </c>
      <c r="B183" s="3" t="n">
        <v>431</v>
      </c>
    </row>
    <row r="184" customFormat="false" ht="15" hidden="false" customHeight="false" outlineLevel="0" collapsed="false">
      <c r="A184" s="2" t="n">
        <v>46467</v>
      </c>
      <c r="B184" s="3" t="n">
        <v>432</v>
      </c>
    </row>
    <row r="185" customFormat="false" ht="15" hidden="false" customHeight="false" outlineLevel="0" collapsed="false">
      <c r="A185" s="2" t="n">
        <v>46468</v>
      </c>
      <c r="B185" s="3" t="n">
        <v>434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</cols>
  <sheetData>
    <row r="1" customFormat="false" ht="21.6" hidden="false" customHeight="false" outlineLevel="0" collapsed="false">
      <c r="A1" s="4" t="s">
        <v>2</v>
      </c>
    </row>
    <row r="2" customFormat="false" ht="17.15" hidden="false" customHeight="false" outlineLevel="0" collapsed="false">
      <c r="A2" s="5" t="s">
        <v>3</v>
      </c>
    </row>
    <row r="4" customFormat="false" ht="15" hidden="false" customHeight="false" outlineLevel="0" collapsed="false">
      <c r="A4" s="1" t="s">
        <v>4</v>
      </c>
      <c r="B4" s="1" t="s">
        <v>5</v>
      </c>
    </row>
    <row r="5" customFormat="false" ht="15" hidden="false" customHeight="false" outlineLevel="0" collapsed="false">
      <c r="A5" s="5" t="s">
        <v>6</v>
      </c>
      <c r="B5" s="3" t="n">
        <f aca="false">INDEX(日別データ!$B$2:$B$185,MATCH(DATEVALUE("2026-09-20"),日別データ!$A$2:$A$185,0))</f>
        <v>6</v>
      </c>
    </row>
    <row r="6" customFormat="false" ht="17.15" hidden="false" customHeight="false" outlineLevel="0" collapsed="false">
      <c r="A6" s="3" t="s">
        <v>7</v>
      </c>
      <c r="B6" s="3" t="n">
        <f aca="false">INDEX(日別データ!$B$2:$B$185,MATCH(DATEVALUE("2026-09-27"),日別データ!$A$2:$A$185,0))</f>
        <v>449</v>
      </c>
    </row>
    <row r="7" customFormat="false" ht="17.15" hidden="false" customHeight="false" outlineLevel="0" collapsed="false">
      <c r="A7" s="3" t="s">
        <v>8</v>
      </c>
      <c r="B7" s="3" t="n">
        <f aca="false">INDEX(日別データ!$B$2:$B$185,MATCH(DATEVALUE("2026-10-20"),日別データ!$A$2:$A$185,0))</f>
        <v>299</v>
      </c>
    </row>
    <row r="8" customFormat="false" ht="17.15" hidden="false" customHeight="false" outlineLevel="0" collapsed="false">
      <c r="A8" s="3" t="s">
        <v>9</v>
      </c>
      <c r="B8" s="3" t="n">
        <f aca="false">INDEX(日別データ!$B$2:$B$185,MATCH(DATEVALUE("2026-11-19"),日別データ!$A$2:$A$185,0))</f>
        <v>321</v>
      </c>
    </row>
    <row r="9" customFormat="false" ht="17.15" hidden="false" customHeight="false" outlineLevel="0" collapsed="false">
      <c r="A9" s="3" t="s">
        <v>10</v>
      </c>
      <c r="B9" s="3" t="n">
        <f aca="false">INDEX(日別データ!$B$2:$B$185,MATCH(DATEVALUE("2026-12-19"),日別データ!$A$2:$A$185,0))</f>
        <v>407</v>
      </c>
    </row>
    <row r="10" customFormat="false" ht="17.15" hidden="false" customHeight="false" outlineLevel="0" collapsed="false">
      <c r="A10" s="3" t="s">
        <v>11</v>
      </c>
      <c r="B10" s="3" t="n">
        <f aca="false">INDEX(日別データ!$B$2:$B$185,MATCH(DATEVALUE("2027-03-19"),日別データ!$A$2:$A$185,0))</f>
        <v>443</v>
      </c>
    </row>
    <row r="11" customFormat="false" ht="15" hidden="false" customHeight="false" outlineLevel="0" collapsed="false">
      <c r="A11" s="5" t="s">
        <v>12</v>
      </c>
      <c r="B11" s="3" t="n">
        <f aca="false">MIN(日別データ!$B$2:$B$185)</f>
        <v>6</v>
      </c>
    </row>
    <row r="12" customFormat="false" ht="15" hidden="false" customHeight="false" outlineLevel="0" collapsed="false">
      <c r="A12" s="5" t="s">
        <v>13</v>
      </c>
      <c r="B12" s="3" t="n">
        <f aca="false">MAX(日別データ!$B$2:$B$185)</f>
        <v>615</v>
      </c>
    </row>
    <row r="13" customFormat="false" ht="15" hidden="false" customHeight="false" outlineLevel="0" collapsed="false">
      <c r="A13" s="5" t="s">
        <v>14</v>
      </c>
      <c r="B13" s="3" t="n">
        <f aca="false">ROUND(AVERAGE(日別データ!$B$2:$B$185),1)</f>
        <v>426.1</v>
      </c>
    </row>
    <row r="14" customFormat="false" ht="15" hidden="false" customHeight="false" outlineLevel="0" collapsed="false">
      <c r="A14" s="5" t="s">
        <v>15</v>
      </c>
      <c r="B14" s="3" t="n">
        <f aca="false">MEDIAN(日別データ!$B$2:$B$185)</f>
        <v>443.5</v>
      </c>
    </row>
    <row r="16" customFormat="false" ht="15" hidden="false" customHeight="false" outlineLevel="0" collapsed="false">
      <c r="A16" s="6" t="s">
        <v>16</v>
      </c>
    </row>
    <row r="17" customFormat="false" ht="15" hidden="false" customHeight="false" outlineLevel="0" collapsed="false">
      <c r="A17" s="6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1" t="s">
        <v>18</v>
      </c>
      <c r="B1" s="1" t="s">
        <v>19</v>
      </c>
    </row>
    <row r="2" customFormat="false" ht="15" hidden="false" customHeight="false" outlineLevel="0" collapsed="false">
      <c r="A2" s="3" t="s">
        <v>20</v>
      </c>
      <c r="B2" s="3" t="n">
        <f aca="false">ROUND(AVERAGEIFS(日別データ!$B$2:$B$185,日別データ!$A$2:$A$185,"&gt;="&amp;DATE(2026,9,1),日別データ!$A$2:$A$185,"&lt;"&amp;EDATE(DATE(2026,9,1),1)),0)</f>
        <v>333</v>
      </c>
    </row>
    <row r="3" customFormat="false" ht="15" hidden="false" customHeight="false" outlineLevel="0" collapsed="false">
      <c r="A3" s="3" t="s">
        <v>21</v>
      </c>
      <c r="B3" s="3" t="n">
        <f aca="false">ROUND(AVERAGEIFS(日別データ!$B$2:$B$185,日別データ!$A$2:$A$185,"&gt;="&amp;DATE(2026,10,1),日別データ!$A$2:$A$185,"&lt;"&amp;EDATE(DATE(2026,10,1),1)),0)</f>
        <v>241</v>
      </c>
    </row>
    <row r="4" customFormat="false" ht="15" hidden="false" customHeight="false" outlineLevel="0" collapsed="false">
      <c r="A4" s="3" t="s">
        <v>22</v>
      </c>
      <c r="B4" s="3" t="n">
        <f aca="false">ROUND(AVERAGEIFS(日別データ!$B$2:$B$185,日別データ!$A$2:$A$185,"&gt;="&amp;DATE(2026,11,1),日別データ!$A$2:$A$185,"&lt;"&amp;EDATE(DATE(2026,11,1),1)),0)</f>
        <v>337</v>
      </c>
    </row>
    <row r="5" customFormat="false" ht="15" hidden="false" customHeight="false" outlineLevel="0" collapsed="false">
      <c r="A5" s="3" t="s">
        <v>23</v>
      </c>
      <c r="B5" s="3" t="n">
        <f aca="false">ROUND(AVERAGEIFS(日別データ!$B$2:$B$185,日別データ!$A$2:$A$185,"&gt;="&amp;DATE(2026,12,1),日別データ!$A$2:$A$185,"&lt;"&amp;EDATE(DATE(2026,12,1),1)),0)</f>
        <v>412</v>
      </c>
    </row>
    <row r="6" customFormat="false" ht="15" hidden="false" customHeight="false" outlineLevel="0" collapsed="false">
      <c r="A6" s="3" t="s">
        <v>24</v>
      </c>
      <c r="B6" s="3" t="n">
        <f aca="false">ROUND(AVERAGEIFS(日別データ!$B$2:$B$185,日別データ!$A$2:$A$185,"&gt;="&amp;DATE(2027,1,1),日別データ!$A$2:$A$185,"&lt;"&amp;EDATE(DATE(2027,1,1),1)),0)</f>
        <v>530</v>
      </c>
    </row>
    <row r="7" customFormat="false" ht="15" hidden="false" customHeight="false" outlineLevel="0" collapsed="false">
      <c r="A7" s="3" t="s">
        <v>25</v>
      </c>
      <c r="B7" s="3" t="n">
        <f aca="false">ROUND(AVERAGEIFS(日別データ!$B$2:$B$185,日別データ!$A$2:$A$185,"&gt;="&amp;DATE(2027,2,1),日別データ!$A$2:$A$185,"&lt;"&amp;EDATE(DATE(2027,2,1),1)),0)</f>
        <v>584</v>
      </c>
    </row>
    <row r="8" customFormat="false" ht="15" hidden="false" customHeight="false" outlineLevel="0" collapsed="false">
      <c r="A8" s="3" t="s">
        <v>26</v>
      </c>
      <c r="B8" s="3" t="n">
        <f aca="false">ROUND(AVERAGEIFS(日別データ!$B$2:$B$185,日別データ!$A$2:$A$185,"&gt;="&amp;DATE(2027,3,1),日別データ!$A$2:$A$185,"&lt;"&amp;EDATE(DATE(2027,3,1),1)),0)</f>
        <v>528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2026-09-19T20:27:16Z</dcterms:created>
  <dc:creator>openpyxl</dc:creator>
  <dc:description/>
  <dc:language>en-US</dc:language>
  <cp:lastModifiedBy/>
  <dcterms:modified xsi:type="dcterms:W3CDTF">2026-09-20T05:27:17Z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